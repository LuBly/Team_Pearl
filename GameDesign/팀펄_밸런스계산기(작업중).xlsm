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우주특공대\Team_Pearl\GameDesign\"/>
    </mc:Choice>
  </mc:AlternateContent>
  <xr:revisionPtr revIDLastSave="0" documentId="13_ncr:1_{CF250077-7B05-40D7-831A-6A961D5142D7}" xr6:coauthVersionLast="47" xr6:coauthVersionMax="47" xr10:uidLastSave="{00000000-0000-0000-0000-000000000000}"/>
  <bookViews>
    <workbookView xWindow="-120" yWindow="-120" windowWidth="29040" windowHeight="15840" xr2:uid="{0707E0F3-27DF-42CC-B3FA-B0B66DB7B22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3" i="1" l="1"/>
  <c r="F17" i="1"/>
  <c r="F16" i="1"/>
  <c r="C19" i="1"/>
  <c r="C18" i="1"/>
  <c r="C17" i="1"/>
  <c r="C16" i="1"/>
  <c r="W23" i="1"/>
  <c r="T23" i="1"/>
  <c r="P14" i="1" a="1"/>
  <c r="P14" i="1" l="1"/>
  <c r="P15" i="1"/>
  <c r="I17" i="1"/>
  <c r="I16" i="1"/>
  <c r="P16" i="1" l="1"/>
  <c r="P20" i="1" s="1"/>
  <c r="P19" i="1" l="1"/>
  <c r="W25" i="1"/>
  <c r="Q25" i="1"/>
  <c r="T25" i="1"/>
  <c r="Q24" i="1" l="1"/>
  <c r="T24" i="1"/>
  <c r="W2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<sst xmlns="http://schemas.openxmlformats.org/spreadsheetml/2006/main" count="214" uniqueCount="159">
  <si>
    <t>총기 공격력</t>
    <phoneticPr fontId="4" type="noConversion"/>
  </si>
  <si>
    <t>치명타 피해 증가(%)</t>
    <phoneticPr fontId="4" type="noConversion"/>
  </si>
  <si>
    <t>기본공격 피해 증가(%)</t>
    <phoneticPr fontId="4" type="noConversion"/>
  </si>
  <si>
    <t>최종 데미지 증가(%)</t>
    <phoneticPr fontId="4" type="noConversion"/>
  </si>
  <si>
    <t>평타 (노크리)</t>
    <phoneticPr fontId="4" type="noConversion"/>
  </si>
  <si>
    <t>평타 (크리)</t>
    <phoneticPr fontId="4" type="noConversion"/>
  </si>
  <si>
    <t>평타 (노크리 + 대쉬)</t>
    <phoneticPr fontId="4" type="noConversion"/>
  </si>
  <si>
    <t>평타 (크리 + 대쉬)</t>
    <phoneticPr fontId="4" type="noConversion"/>
  </si>
  <si>
    <t>스킬 (노크리)</t>
    <phoneticPr fontId="4" type="noConversion"/>
  </si>
  <si>
    <t>스킬 (크리)</t>
    <phoneticPr fontId="4" type="noConversion"/>
  </si>
  <si>
    <t>스킬 계수</t>
    <phoneticPr fontId="4" type="noConversion"/>
  </si>
  <si>
    <t>스킬 피해 증가(%)</t>
    <phoneticPr fontId="4" type="noConversion"/>
  </si>
  <si>
    <t>평타 데미지 산정 공식</t>
    <phoneticPr fontId="4" type="noConversion"/>
  </si>
  <si>
    <t>스킬 데미지 산정 공식</t>
    <phoneticPr fontId="4" type="noConversion"/>
  </si>
  <si>
    <t>피해량 증가는 합연산으로 계산된다.</t>
    <phoneticPr fontId="4" type="noConversion"/>
  </si>
  <si>
    <t>치명타 확률(%)</t>
    <phoneticPr fontId="4" type="noConversion"/>
  </si>
  <si>
    <t>AR</t>
    <phoneticPr fontId="4" type="noConversion"/>
  </si>
  <si>
    <t>1. 공격력 계산기</t>
    <phoneticPr fontId="4" type="noConversion"/>
  </si>
  <si>
    <t>SG</t>
    <phoneticPr fontId="4" type="noConversion"/>
  </si>
  <si>
    <t>SR</t>
    <phoneticPr fontId="4" type="noConversion"/>
  </si>
  <si>
    <t>평타 데미지 기대값</t>
    <phoneticPr fontId="4" type="noConversion"/>
  </si>
  <si>
    <t>스킬 데미지 기대값</t>
    <phoneticPr fontId="4" type="noConversion"/>
  </si>
  <si>
    <t>*치명타 확률을 고려한 데미지를 의미함</t>
    <phoneticPr fontId="4" type="noConversion"/>
  </si>
  <si>
    <t>일반 몬스터 체력</t>
    <phoneticPr fontId="4" type="noConversion"/>
  </si>
  <si>
    <t>2. 총기 공격력 밸런스 계산기</t>
    <phoneticPr fontId="4" type="noConversion"/>
  </si>
  <si>
    <t>총기 공격력을 세팅하는 방법은 다음과 같다.</t>
    <phoneticPr fontId="4" type="noConversion"/>
  </si>
  <si>
    <t>1. 총기 공격력을 제외한 나머지 값을 좌측 공격력 계산기에 입력한다.</t>
    <phoneticPr fontId="4" type="noConversion"/>
  </si>
  <si>
    <t>2. 이를 기준으로 SG의 총기 공격력과 일반 스테이지 몬스터의 체력을 설정한다.</t>
    <phoneticPr fontId="4" type="noConversion"/>
  </si>
  <si>
    <t>1. 일반 스테이지 몬스터의 체력은 해당 스테이지 적정 스펙인 SG의 평타 기대값과 동일하게 설정한다. (투사체 6개 전부 맞힐 시 원킬)</t>
    <phoneticPr fontId="4" type="noConversion"/>
  </si>
  <si>
    <t>SG 적정 총기 공격력</t>
    <phoneticPr fontId="4" type="noConversion"/>
  </si>
  <si>
    <t>AR 적정 총기 공격력</t>
    <phoneticPr fontId="4" type="noConversion"/>
  </si>
  <si>
    <t>SR 적정 총기 공격력</t>
    <phoneticPr fontId="4" type="noConversion"/>
  </si>
  <si>
    <t>* 1.1로 나누기 (1대 때리면 실피가 남도록)</t>
    <phoneticPr fontId="4" type="noConversion"/>
  </si>
  <si>
    <t>2. 일반 몬스터 체력을 입력하면 나머지는 전부 자동으로 계산된다. (ShotgunPower함수)</t>
    <phoneticPr fontId="4" type="noConversion"/>
  </si>
  <si>
    <t>SR의 경우 스킬계수를 높게 설정하여 보스전에서 좋은 성능을 발휘할 수 있도록 할 예정</t>
    <phoneticPr fontId="4" type="noConversion"/>
  </si>
  <si>
    <t>AR 평타 기대값</t>
    <phoneticPr fontId="4" type="noConversion"/>
  </si>
  <si>
    <t>SR 평타 기대값</t>
    <phoneticPr fontId="4" type="noConversion"/>
  </si>
  <si>
    <t>(보스 스테이지의 플레이타임은 SR이 궁극기 사이클을 몇 번이나 돌릴 수 있는지를 기준으로 설계한다.)</t>
    <phoneticPr fontId="4" type="noConversion"/>
  </si>
  <si>
    <t>* 총기 공격력을 기반으로 한 평타의 기대값은 다음과 같다.</t>
    <phoneticPr fontId="4" type="noConversion"/>
  </si>
  <si>
    <t>평타 DPS</t>
    <phoneticPr fontId="4" type="noConversion"/>
  </si>
  <si>
    <t>평타 DPM</t>
    <phoneticPr fontId="4" type="noConversion"/>
  </si>
  <si>
    <t>평타 DP3M</t>
    <phoneticPr fontId="4" type="noConversion"/>
  </si>
  <si>
    <t>* SG 평타 기대값과 동일</t>
    <phoneticPr fontId="4" type="noConversion"/>
  </si>
  <si>
    <t>3. 스킬 계수 밸런스 계산기</t>
    <phoneticPr fontId="4" type="noConversion"/>
  </si>
  <si>
    <t>최대 HP</t>
    <phoneticPr fontId="4" type="noConversion"/>
  </si>
  <si>
    <t>전투력 산정 공식</t>
    <phoneticPr fontId="4" type="noConversion"/>
  </si>
  <si>
    <t>전투력 (AR)</t>
    <phoneticPr fontId="4" type="noConversion"/>
  </si>
  <si>
    <t>전투력 (SG)</t>
    <phoneticPr fontId="4" type="noConversion"/>
  </si>
  <si>
    <t>전투력 (SR)</t>
    <phoneticPr fontId="4" type="noConversion"/>
  </si>
  <si>
    <t>최고 등급 무기 기준 공격속도 (SG: 0.67, AR: 2, SR: 0.67) / 등급 낮은 무기들은 1:3:1 비율 유지한 채로 조금씩 낮추기</t>
    <phoneticPr fontId="4" type="noConversion"/>
  </si>
  <si>
    <t>SG 적정 총기 전투력</t>
    <phoneticPr fontId="4" type="noConversion"/>
  </si>
  <si>
    <t>AR 적정 총기 전투력</t>
    <phoneticPr fontId="4" type="noConversion"/>
  </si>
  <si>
    <t>SR 적정 총기 전투력</t>
    <phoneticPr fontId="4" type="noConversion"/>
  </si>
  <si>
    <t>4. 챕터 밸런스 계산기</t>
    <phoneticPr fontId="4" type="noConversion"/>
  </si>
  <si>
    <t>스킬 계수를 세팅하는 방법은 다음과 같다.</t>
    <phoneticPr fontId="4" type="noConversion"/>
  </si>
  <si>
    <t xml:space="preserve">1. 총기 공격력을 제외한 </t>
    <phoneticPr fontId="4" type="noConversion"/>
  </si>
  <si>
    <t>SR 1스</t>
    <phoneticPr fontId="4" type="noConversion"/>
  </si>
  <si>
    <t>SR 2스</t>
    <phoneticPr fontId="4" type="noConversion"/>
  </si>
  <si>
    <t>SR 궁극기</t>
    <phoneticPr fontId="4" type="noConversion"/>
  </si>
  <si>
    <t>스나이핑</t>
    <phoneticPr fontId="4" type="noConversion"/>
  </si>
  <si>
    <t>드론</t>
    <phoneticPr fontId="4" type="noConversion"/>
  </si>
  <si>
    <t>가장 가까운 적 1명에게 3초마다 데미지</t>
    <phoneticPr fontId="4" type="noConversion"/>
  </si>
  <si>
    <t>자기장</t>
    <phoneticPr fontId="4" type="noConversion"/>
  </si>
  <si>
    <t>회복</t>
    <phoneticPr fontId="4" type="noConversion"/>
  </si>
  <si>
    <t>가장 가까운 적 1명에게 10초마다 데미지 (번개가 내리침)</t>
    <phoneticPr fontId="4" type="noConversion"/>
  </si>
  <si>
    <t>패시브1</t>
    <phoneticPr fontId="4" type="noConversion"/>
  </si>
  <si>
    <t>패시브2</t>
    <phoneticPr fontId="4" type="noConversion"/>
  </si>
  <si>
    <t>치명타 데미지 증가</t>
    <phoneticPr fontId="4" type="noConversion"/>
  </si>
  <si>
    <t>최종 데미지 증가</t>
    <phoneticPr fontId="4" type="noConversion"/>
  </si>
  <si>
    <t>SG 1스</t>
    <phoneticPr fontId="4" type="noConversion"/>
  </si>
  <si>
    <t>AR 1스</t>
    <phoneticPr fontId="4" type="noConversion"/>
  </si>
  <si>
    <t>AR 2스</t>
    <phoneticPr fontId="4" type="noConversion"/>
  </si>
  <si>
    <t>AR 궁극기</t>
    <phoneticPr fontId="4" type="noConversion"/>
  </si>
  <si>
    <t>파편 수류탄</t>
    <phoneticPr fontId="4" type="noConversion"/>
  </si>
  <si>
    <t>포격 지원</t>
    <phoneticPr fontId="4" type="noConversion"/>
  </si>
  <si>
    <t>SG 2스</t>
    <phoneticPr fontId="4" type="noConversion"/>
  </si>
  <si>
    <t>SG 궁극기</t>
    <phoneticPr fontId="4" type="noConversion"/>
  </si>
  <si>
    <t>10초에 1번 HP의 10% 회복</t>
    <phoneticPr fontId="4" type="noConversion"/>
  </si>
  <si>
    <t>판넬</t>
    <phoneticPr fontId="4" type="noConversion"/>
  </si>
  <si>
    <t>플레이어 주변을 도는 3개의 판넬</t>
    <phoneticPr fontId="4" type="noConversion"/>
  </si>
  <si>
    <t>원형의 범위에 5번 피해를 준다.</t>
    <phoneticPr fontId="4" type="noConversion"/>
  </si>
  <si>
    <t>전방을 향해 부채꼴 모양으로 난사하여 1초 간격으로 3번의 피해를 입힌다. (이동하면서 공격 가능)</t>
    <phoneticPr fontId="4" type="noConversion"/>
  </si>
  <si>
    <t>적들을 관통하는 강력한 한 방을 부채꼴 범위로 발사</t>
    <phoneticPr fontId="4" type="noConversion"/>
  </si>
  <si>
    <t>적들을 관통하는 화염 탄환 3개를 부채꼴 모양으로 발사</t>
    <phoneticPr fontId="4" type="noConversion"/>
  </si>
  <si>
    <t>성장 총기 공격력(%)</t>
    <phoneticPr fontId="4" type="noConversion"/>
  </si>
  <si>
    <t>(총기 공격력*(1 + 성장 총기 공격력%)) * (1+치명타 발생 시(기본 치명타 피해량 50%+치명타 피해 증가%)) * (1+기본공격 추가 피해%) * (1+최종 데미지 증가%) * (1+대쉬 여부20%)</t>
    <phoneticPr fontId="4" type="noConversion"/>
  </si>
  <si>
    <t>* 3.1로 나누기 (3대 때리면 실피가 남도록)</t>
    <phoneticPr fontId="4" type="noConversion"/>
  </si>
  <si>
    <t>((총기 공격력*(1 + 성장 총기 공격력%)) * (스킬 계수)) * (1+치명타 발생 시(0.5+치명타 피해 증가%)) * (1+스킬 추가 피해%) * (1+최종 데미지 증가%)</t>
    <phoneticPr fontId="4" type="noConversion"/>
  </si>
  <si>
    <t xml:space="preserve">3. SG의 총기 공격력을 기준으로 동일 등급의 AR로는 4방에, SR로는 2방에 적을 죽일 수 있도록 공격력을 설계한다. </t>
    <phoneticPr fontId="4" type="noConversion"/>
  </si>
  <si>
    <t>잠깐의 대기시간 후 적을 관통하는 레이저를 발사</t>
    <phoneticPr fontId="4" type="noConversion"/>
  </si>
  <si>
    <t>자기장 수류탄 (</t>
    <phoneticPr fontId="4" type="noConversion"/>
  </si>
  <si>
    <t xml:space="preserve">값 입력 -&gt; P12셀 선택 후 엔터 입력 시 일반 몬스터 체력에 따른 적정 총기 공격력 확인 가능 </t>
    <phoneticPr fontId="4" type="noConversion"/>
  </si>
  <si>
    <t>1-1 스테이지</t>
    <phoneticPr fontId="4" type="noConversion"/>
  </si>
  <si>
    <t>체력</t>
    <phoneticPr fontId="4" type="noConversion"/>
  </si>
  <si>
    <t>공격력</t>
    <phoneticPr fontId="4" type="noConversion"/>
  </si>
  <si>
    <t>적</t>
    <phoneticPr fontId="4" type="noConversion"/>
  </si>
  <si>
    <t>SG</t>
    <phoneticPr fontId="4" type="noConversion"/>
  </si>
  <si>
    <t>1-2 스테이지</t>
    <phoneticPr fontId="4" type="noConversion"/>
  </si>
  <si>
    <t>골드</t>
    <phoneticPr fontId="4" type="noConversion"/>
  </si>
  <si>
    <t>마력석</t>
    <phoneticPr fontId="4" type="noConversion"/>
  </si>
  <si>
    <t>노말</t>
    <phoneticPr fontId="4" type="noConversion"/>
  </si>
  <si>
    <t>AR</t>
    <phoneticPr fontId="4" type="noConversion"/>
  </si>
  <si>
    <t>SR</t>
    <phoneticPr fontId="4" type="noConversion"/>
  </si>
  <si>
    <t>레어</t>
    <phoneticPr fontId="4" type="noConversion"/>
  </si>
  <si>
    <t>에픽하</t>
    <phoneticPr fontId="4" type="noConversion"/>
  </si>
  <si>
    <t>에픽중</t>
    <phoneticPr fontId="4" type="noConversion"/>
  </si>
  <si>
    <t>에픽상</t>
    <phoneticPr fontId="4" type="noConversion"/>
  </si>
  <si>
    <t>유닠하</t>
    <phoneticPr fontId="4" type="noConversion"/>
  </si>
  <si>
    <t>유닠중</t>
    <phoneticPr fontId="4" type="noConversion"/>
  </si>
  <si>
    <t>유닠상</t>
    <phoneticPr fontId="4" type="noConversion"/>
  </si>
  <si>
    <t>100+공퍼</t>
    <phoneticPr fontId="4" type="noConversion"/>
  </si>
  <si>
    <t>33+공퍼</t>
    <phoneticPr fontId="4" type="noConversion"/>
  </si>
  <si>
    <t>90+공퍼</t>
    <phoneticPr fontId="4" type="noConversion"/>
  </si>
  <si>
    <t>1시간 구간</t>
    <phoneticPr fontId="4" type="noConversion"/>
  </si>
  <si>
    <t>전설하</t>
    <phoneticPr fontId="4" type="noConversion"/>
  </si>
  <si>
    <t>전설중</t>
    <phoneticPr fontId="4" type="noConversion"/>
  </si>
  <si>
    <t>전설상</t>
    <phoneticPr fontId="4" type="noConversion"/>
  </si>
  <si>
    <t>조작</t>
    <phoneticPr fontId="4" type="noConversion"/>
  </si>
  <si>
    <t>성장</t>
    <phoneticPr fontId="4" type="noConversion"/>
  </si>
  <si>
    <t>캐릭터</t>
    <phoneticPr fontId="4" type="noConversion"/>
  </si>
  <si>
    <t>총기 숙련도</t>
    <phoneticPr fontId="4" type="noConversion"/>
  </si>
  <si>
    <t>1-3 스테이지</t>
    <phoneticPr fontId="4" type="noConversion"/>
  </si>
  <si>
    <t>뽑기</t>
    <phoneticPr fontId="4" type="noConversion"/>
  </si>
  <si>
    <t>AR로 교체</t>
    <phoneticPr fontId="4" type="noConversion"/>
  </si>
  <si>
    <t>등급</t>
    <phoneticPr fontId="4" type="noConversion"/>
  </si>
  <si>
    <t>방치 보상</t>
    <phoneticPr fontId="4" type="noConversion"/>
  </si>
  <si>
    <t>1-4 스테이지</t>
    <phoneticPr fontId="4" type="noConversion"/>
  </si>
  <si>
    <t>스킬해금</t>
    <phoneticPr fontId="4" type="noConversion"/>
  </si>
  <si>
    <t>1-5 스테이지</t>
    <phoneticPr fontId="4" type="noConversion"/>
  </si>
  <si>
    <t>SR로 교체</t>
    <phoneticPr fontId="4" type="noConversion"/>
  </si>
  <si>
    <t>전부 5숙</t>
    <phoneticPr fontId="4" type="noConversion"/>
  </si>
  <si>
    <t>보스 카운터</t>
    <phoneticPr fontId="4" type="noConversion"/>
  </si>
  <si>
    <t>보스</t>
    <phoneticPr fontId="4" type="noConversion"/>
  </si>
  <si>
    <t>2-1 스테이지</t>
    <phoneticPr fontId="4" type="noConversion"/>
  </si>
  <si>
    <t>소탕</t>
    <phoneticPr fontId="4" type="noConversion"/>
  </si>
  <si>
    <t>2-2 스테이지</t>
    <phoneticPr fontId="4" type="noConversion"/>
  </si>
  <si>
    <t>2-3 스테이지</t>
    <phoneticPr fontId="4" type="noConversion"/>
  </si>
  <si>
    <t>2-4 스테이지</t>
    <phoneticPr fontId="4" type="noConversion"/>
  </si>
  <si>
    <t>2-5 스테이지</t>
    <phoneticPr fontId="4" type="noConversion"/>
  </si>
  <si>
    <t>3-1 스테이지</t>
    <phoneticPr fontId="4" type="noConversion"/>
  </si>
  <si>
    <t>유니크 하</t>
    <phoneticPr fontId="4" type="noConversion"/>
  </si>
  <si>
    <t>부착물 뽑기</t>
    <phoneticPr fontId="4" type="noConversion"/>
  </si>
  <si>
    <t>스테이지 건너뛰기</t>
    <phoneticPr fontId="4" type="noConversion"/>
  </si>
  <si>
    <t>클리어</t>
    <phoneticPr fontId="4" type="noConversion"/>
  </si>
  <si>
    <t>3-2 스테이지</t>
    <phoneticPr fontId="4" type="noConversion"/>
  </si>
  <si>
    <t>3-3 스테이지</t>
    <phoneticPr fontId="4" type="noConversion"/>
  </si>
  <si>
    <t>3-4 스테이지</t>
    <phoneticPr fontId="4" type="noConversion"/>
  </si>
  <si>
    <t>3-5 스테이지</t>
    <phoneticPr fontId="4" type="noConversion"/>
  </si>
  <si>
    <t>13~15방 맞으면 죽는게 적정</t>
    <phoneticPr fontId="4" type="noConversion"/>
  </si>
  <si>
    <t>보스 처치 시 매우 큰 보상</t>
    <phoneticPr fontId="4" type="noConversion"/>
  </si>
  <si>
    <t>미션</t>
    <phoneticPr fontId="4" type="noConversion"/>
  </si>
  <si>
    <t>설명</t>
    <phoneticPr fontId="4" type="noConversion"/>
  </si>
  <si>
    <t>AR</t>
    <phoneticPr fontId="4" type="noConversion"/>
  </si>
  <si>
    <t>최초 클리어 보상</t>
    <phoneticPr fontId="4" type="noConversion"/>
  </si>
  <si>
    <t>미션 클리어 보상</t>
    <phoneticPr fontId="4" type="noConversion"/>
  </si>
  <si>
    <t>캐릭 레벨5</t>
    <phoneticPr fontId="4" type="noConversion"/>
  </si>
  <si>
    <t>체력 레벨 5</t>
    <phoneticPr fontId="4" type="noConversion"/>
  </si>
  <si>
    <t>난이도 2</t>
    <phoneticPr fontId="4" type="noConversion"/>
  </si>
  <si>
    <t>난이도 1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</si>
</sst>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rgb="FF0061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1"/>
      <color rgb="FF9C000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6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" fillId="4" borderId="1" applyNumberFormat="0" applyFont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2" xfId="3" applyFont="1" applyBorder="1" applyAlignment="1">
      <alignment horizontal="center" vertical="center"/>
    </xf>
    <xf numFmtId="0" fontId="0" fillId="0" borderId="2" xfId="0" applyBorder="1">
      <alignment vertical="center"/>
    </xf>
    <xf numFmtId="0" fontId="7" fillId="0" borderId="0" xfId="0" applyFont="1">
      <alignment vertical="center"/>
    </xf>
    <xf numFmtId="0" fontId="3" fillId="3" borderId="2" xfId="2" applyBorder="1" applyAlignment="1">
      <alignment horizontal="left" vertical="center"/>
    </xf>
    <xf numFmtId="0" fontId="7" fillId="0" borderId="2" xfId="0" applyFont="1" applyBorder="1">
      <alignment vertical="center"/>
    </xf>
    <xf numFmtId="0" fontId="3" fillId="3" borderId="2" xfId="2" applyBorder="1">
      <alignment vertical="center"/>
    </xf>
    <xf numFmtId="0" fontId="9" fillId="0" borderId="0" xfId="0" applyFont="1">
      <alignment vertical="center"/>
    </xf>
    <xf numFmtId="0" fontId="8" fillId="5" borderId="0" xfId="4">
      <alignment vertical="center"/>
    </xf>
    <xf numFmtId="0" fontId="11" fillId="0" borderId="0" xfId="0" applyFont="1" applyAlignment="1">
      <alignment horizontal="left" vertical="center"/>
    </xf>
    <xf numFmtId="0" fontId="0" fillId="0" borderId="3" xfId="0" applyBorder="1">
      <alignment vertical="center"/>
    </xf>
    <xf numFmtId="0" fontId="11" fillId="0" borderId="0" xfId="0" applyFont="1">
      <alignment vertical="center"/>
    </xf>
    <xf numFmtId="0" fontId="11" fillId="4" borderId="3" xfId="3" applyFont="1" applyBorder="1" applyAlignment="1">
      <alignment horizontal="center" vertical="center"/>
    </xf>
    <xf numFmtId="0" fontId="7" fillId="4" borderId="3" xfId="3" applyFont="1" applyBorder="1" applyAlignment="1">
      <alignment horizontal="center" vertical="center"/>
    </xf>
    <xf numFmtId="0" fontId="7" fillId="0" borderId="3" xfId="0" applyFont="1" applyBorder="1">
      <alignment vertical="center"/>
    </xf>
    <xf numFmtId="0" fontId="5" fillId="4" borderId="4" xfId="3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4" borderId="5" xfId="3" applyFont="1" applyBorder="1" applyAlignment="1">
      <alignment horizontal="center" vertical="center"/>
    </xf>
    <xf numFmtId="0" fontId="0" fillId="0" borderId="5" xfId="0" applyBorder="1">
      <alignment vertical="center"/>
    </xf>
    <xf numFmtId="0" fontId="5" fillId="4" borderId="3" xfId="3" applyFont="1" applyBorder="1" applyAlignment="1">
      <alignment horizontal="center" vertical="center"/>
    </xf>
    <xf numFmtId="0" fontId="11" fillId="0" borderId="3" xfId="0" applyFont="1" applyBorder="1">
      <alignment vertical="center"/>
    </xf>
    <xf numFmtId="0" fontId="3" fillId="3" borderId="3" xfId="2" applyBorder="1">
      <alignment vertical="center"/>
    </xf>
    <xf numFmtId="0" fontId="0" fillId="4" borderId="3" xfId="3" applyFont="1" applyBorder="1">
      <alignment vertical="center"/>
    </xf>
    <xf numFmtId="0" fontId="0" fillId="0" borderId="0" xfId="0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0" fontId="2" fillId="2" borderId="0" xfId="1" applyAlignment="1">
      <alignment horizontal="center" vertical="center"/>
    </xf>
    <xf numFmtId="0" fontId="3" fillId="3" borderId="0" xfId="2" applyAlignment="1">
      <alignment horizontal="center" vertical="center"/>
    </xf>
    <xf numFmtId="0" fontId="3" fillId="3" borderId="0" xfId="2">
      <alignment vertical="center"/>
    </xf>
    <xf numFmtId="0" fontId="8" fillId="5" borderId="0" xfId="4" applyAlignment="1">
      <alignment horizontal="center" vertical="center"/>
    </xf>
    <xf numFmtId="0" fontId="0" fillId="7" borderId="0" xfId="0" applyFill="1">
      <alignment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left" vertical="center"/>
    </xf>
    <xf numFmtId="0" fontId="1" fillId="6" borderId="0" xfId="5" applyAlignment="1">
      <alignment horizontal="center" vertical="center"/>
    </xf>
    <xf numFmtId="0" fontId="8" fillId="5" borderId="0" xfId="4" applyAlignment="1">
      <alignment horizontal="left" vertical="center"/>
    </xf>
    <xf numFmtId="0" fontId="10" fillId="3" borderId="0" xfId="2" applyFont="1" applyAlignment="1">
      <alignment horizontal="center" vertical="center"/>
    </xf>
    <xf numFmtId="0" fontId="0" fillId="4" borderId="3" xfId="3" applyFont="1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3" fillId="3" borderId="0" xfId="2" applyAlignment="1">
      <alignment horizontal="center" vertical="center"/>
    </xf>
    <xf numFmtId="0" fontId="2" fillId="2" borderId="0" xfId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8" fillId="5" borderId="0" xfId="4" applyAlignment="1">
      <alignment horizontal="center" vertical="center"/>
    </xf>
    <xf numFmtId="0" fontId="1" fillId="6" borderId="0" xfId="5" applyAlignment="1">
      <alignment horizontal="center" vertical="center"/>
    </xf>
  </cellXfs>
  <cellStyles count="6">
    <cellStyle name="40% - 강조색1" xfId="5" builtinId="31"/>
    <cellStyle name="나쁨" xfId="2" builtinId="27"/>
    <cellStyle name="메모" xfId="3" builtinId="10"/>
    <cellStyle name="보통" xfId="4" builtinId="28"/>
    <cellStyle name="좋음" xfId="1" builtinId="2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8DCC5-911B-4B88-941B-D1E1CEC7C469}">
  <sheetPr codeName="Sheet1"/>
  <dimension ref="A1:BF74"/>
  <sheetViews>
    <sheetView tabSelected="1" zoomScale="55" zoomScaleNormal="55" workbookViewId="0">
      <selection activeCell="W23" sqref="W23"/>
    </sheetView>
  </sheetViews>
  <sheetFormatPr defaultRowHeight="16.5" x14ac:dyDescent="0.3"/>
  <cols>
    <col min="1" max="1" width="5.375" customWidth="1"/>
    <col min="2" max="2" width="20.5" customWidth="1"/>
    <col min="5" max="5" width="19" customWidth="1"/>
    <col min="6" max="6" width="10.875" customWidth="1"/>
    <col min="8" max="8" width="21.25" customWidth="1"/>
    <col min="9" max="9" width="10.625" customWidth="1"/>
    <col min="15" max="15" width="21" customWidth="1"/>
    <col min="16" max="16" width="13.375" bestFit="1" customWidth="1"/>
    <col min="17" max="17" width="12.75" style="1" customWidth="1"/>
    <col min="18" max="18" width="20.75" customWidth="1"/>
    <col min="20" max="20" width="11.25" customWidth="1"/>
    <col min="21" max="21" width="19.5" customWidth="1"/>
    <col min="22" max="22" width="10.625" bestFit="1" customWidth="1"/>
    <col min="23" max="23" width="11.5" customWidth="1"/>
    <col min="29" max="29" width="10.625" customWidth="1"/>
    <col min="31" max="31" width="9" style="1"/>
  </cols>
  <sheetData>
    <row r="1" spans="1:58" x14ac:dyDescent="0.3">
      <c r="A1" s="1"/>
    </row>
    <row r="2" spans="1:58" x14ac:dyDescent="0.3">
      <c r="B2" s="38" t="s">
        <v>17</v>
      </c>
      <c r="C2" s="38"/>
      <c r="D2" s="38"/>
      <c r="E2" s="38"/>
      <c r="F2" s="38"/>
      <c r="G2" s="38"/>
      <c r="H2" s="38"/>
      <c r="I2" s="38"/>
      <c r="J2" s="38"/>
      <c r="K2" s="38"/>
      <c r="O2" s="38" t="s">
        <v>24</v>
      </c>
      <c r="P2" s="38"/>
      <c r="Q2" s="38"/>
      <c r="R2" s="38"/>
      <c r="S2" s="38"/>
      <c r="T2" s="38"/>
      <c r="U2" s="38"/>
      <c r="V2" s="38"/>
      <c r="W2" s="38"/>
      <c r="X2" s="38"/>
    </row>
    <row r="3" spans="1:58" x14ac:dyDescent="0.3">
      <c r="B3" s="38"/>
      <c r="C3" s="38"/>
      <c r="D3" s="38"/>
      <c r="E3" s="38"/>
      <c r="F3" s="38"/>
      <c r="G3" s="38"/>
      <c r="H3" s="38"/>
      <c r="I3" s="38"/>
      <c r="J3" s="38"/>
      <c r="K3" s="38"/>
      <c r="O3" s="38"/>
      <c r="P3" s="38"/>
      <c r="Q3" s="38"/>
      <c r="R3" s="38"/>
      <c r="S3" s="38"/>
      <c r="T3" s="38"/>
      <c r="U3" s="38"/>
      <c r="V3" s="38"/>
      <c r="W3" s="38"/>
      <c r="X3" s="38"/>
    </row>
    <row r="4" spans="1:58" x14ac:dyDescent="0.3">
      <c r="B4" s="36" t="s">
        <v>14</v>
      </c>
      <c r="C4" s="36"/>
      <c r="D4" s="36"/>
      <c r="E4" s="36"/>
      <c r="F4" s="36"/>
      <c r="G4" s="36"/>
      <c r="H4" s="36"/>
      <c r="I4" s="36"/>
      <c r="J4" s="36"/>
      <c r="K4" s="36"/>
      <c r="O4" s="36" t="s">
        <v>25</v>
      </c>
      <c r="P4" s="36"/>
      <c r="Q4" s="36"/>
      <c r="R4" s="36"/>
      <c r="S4" s="36"/>
      <c r="T4" s="36"/>
      <c r="U4" s="36"/>
      <c r="V4" s="36"/>
      <c r="W4" s="36"/>
      <c r="X4" s="36"/>
    </row>
    <row r="5" spans="1:58" x14ac:dyDescent="0.3">
      <c r="O5" s="36" t="s">
        <v>26</v>
      </c>
      <c r="P5" s="36"/>
      <c r="Q5" s="36"/>
      <c r="R5" s="36"/>
      <c r="S5" s="36"/>
      <c r="T5" s="36"/>
      <c r="U5" s="36"/>
      <c r="V5" s="36"/>
      <c r="W5" s="36"/>
      <c r="X5" s="36"/>
    </row>
    <row r="6" spans="1:58" x14ac:dyDescent="0.3">
      <c r="B6" s="3" t="s">
        <v>84</v>
      </c>
      <c r="C6" s="4">
        <v>3000</v>
      </c>
      <c r="O6" s="36" t="s">
        <v>33</v>
      </c>
      <c r="P6" s="36"/>
      <c r="Q6" s="36"/>
      <c r="R6" s="36"/>
      <c r="S6" s="36"/>
      <c r="T6" s="36"/>
      <c r="U6" s="36"/>
      <c r="V6" s="36"/>
      <c r="W6" s="36"/>
      <c r="X6" s="36"/>
    </row>
    <row r="7" spans="1:58" x14ac:dyDescent="0.3">
      <c r="B7" s="3" t="s">
        <v>0</v>
      </c>
      <c r="C7" s="4">
        <v>510</v>
      </c>
    </row>
    <row r="8" spans="1:58" x14ac:dyDescent="0.3">
      <c r="B8" s="3" t="s">
        <v>1</v>
      </c>
      <c r="C8" s="4">
        <v>0</v>
      </c>
      <c r="O8" t="s">
        <v>28</v>
      </c>
    </row>
    <row r="9" spans="1:58" x14ac:dyDescent="0.3">
      <c r="B9" s="3" t="s">
        <v>2</v>
      </c>
      <c r="C9" s="4">
        <v>0</v>
      </c>
      <c r="O9" t="s">
        <v>27</v>
      </c>
    </row>
    <row r="10" spans="1:58" x14ac:dyDescent="0.3">
      <c r="B10" s="3" t="s">
        <v>3</v>
      </c>
      <c r="C10" s="4">
        <v>0</v>
      </c>
      <c r="F10" s="2"/>
      <c r="O10" t="s">
        <v>88</v>
      </c>
    </row>
    <row r="11" spans="1:58" x14ac:dyDescent="0.3">
      <c r="B11" s="17" t="s">
        <v>15</v>
      </c>
      <c r="C11" s="18">
        <v>20</v>
      </c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</row>
    <row r="12" spans="1:58" x14ac:dyDescent="0.3">
      <c r="B12" s="21" t="s">
        <v>44</v>
      </c>
      <c r="C12" s="22">
        <v>300</v>
      </c>
      <c r="O12" s="15" t="s">
        <v>23</v>
      </c>
      <c r="P12" s="12">
        <v>99</v>
      </c>
      <c r="Q12" s="2" t="s">
        <v>42</v>
      </c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</row>
    <row r="13" spans="1:58" x14ac:dyDescent="0.3">
      <c r="B13" s="19" t="s">
        <v>10</v>
      </c>
      <c r="C13" s="20">
        <v>3</v>
      </c>
      <c r="O13" s="13"/>
      <c r="Q13" s="2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</row>
    <row r="14" spans="1:58" x14ac:dyDescent="0.3">
      <c r="B14" s="3" t="s">
        <v>11</v>
      </c>
      <c r="C14" s="4">
        <v>10</v>
      </c>
      <c r="O14" s="14" t="s">
        <v>29</v>
      </c>
      <c r="P14" s="12" cm="1">
        <f t="array" ref="P14">ROUNDDOWN(ShotgunPower(),0)</f>
        <v>90</v>
      </c>
      <c r="U14" s="24" t="s">
        <v>50</v>
      </c>
      <c r="V14" s="12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</row>
    <row r="15" spans="1:58" x14ac:dyDescent="0.3">
      <c r="H15" t="s">
        <v>22</v>
      </c>
      <c r="O15" s="14" t="s">
        <v>30</v>
      </c>
      <c r="P15" s="12">
        <f>ROUNDDOWN($P$14/3.1,0)</f>
        <v>29</v>
      </c>
      <c r="Q15" s="2" t="s">
        <v>86</v>
      </c>
      <c r="R15" s="1"/>
      <c r="U15" s="24" t="s">
        <v>51</v>
      </c>
      <c r="V15" s="12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</row>
    <row r="16" spans="1:58" x14ac:dyDescent="0.3">
      <c r="B16" s="6" t="s">
        <v>4</v>
      </c>
      <c r="C16" s="7">
        <f>ROUNDDOWN((C7*(1+$C$6/100))*(1+$C$9/100)*(1+$C$10/100),0)</f>
        <v>15810</v>
      </c>
      <c r="E16" s="8" t="s">
        <v>8</v>
      </c>
      <c r="F16" s="7">
        <f>ROUNDDOWN((($C$7*(1+$C$6/100))*$C$13)*(1+$C$14/100)*(1+$C$10/100),0)</f>
        <v>52173</v>
      </c>
      <c r="G16" s="5"/>
      <c r="H16" s="8" t="s">
        <v>20</v>
      </c>
      <c r="I16" s="4">
        <f>ROUNDDOWN(($C$16*(1-$C$11/100))+($C$17*($C$11/100)),0)</f>
        <v>17391</v>
      </c>
      <c r="O16" s="14" t="s">
        <v>31</v>
      </c>
      <c r="P16" s="12">
        <f>ROUNDDOWN($P$14/1.1,0)</f>
        <v>81</v>
      </c>
      <c r="Q16" s="2" t="s">
        <v>32</v>
      </c>
      <c r="U16" s="24" t="s">
        <v>52</v>
      </c>
      <c r="V16" s="12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</row>
    <row r="17" spans="2:58" x14ac:dyDescent="0.3">
      <c r="B17" s="6" t="s">
        <v>5</v>
      </c>
      <c r="C17" s="7">
        <f>ROUNDDOWN(($C$7*(1+$C$6/100))*(1+(0.5+$C$8/100))*(1+$C$9/100)*(1+$C$10/100),0)</f>
        <v>23715</v>
      </c>
      <c r="E17" s="8" t="s">
        <v>9</v>
      </c>
      <c r="F17" s="7">
        <f>ROUNDDOWN((($C$7*(1+$C$6/100))*$C$13)*(1+(0.5+$C$8/100))*(1+$C$14/100)*(1+$C$10/100),0)</f>
        <v>78259</v>
      </c>
      <c r="G17" s="5"/>
      <c r="H17" s="8" t="s">
        <v>21</v>
      </c>
      <c r="I17" s="4">
        <f>ROUNDDOWN(($F$16*(1-($C$11/100)))+($F$17*$C$11/100),0)</f>
        <v>57390</v>
      </c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</row>
    <row r="18" spans="2:58" x14ac:dyDescent="0.3">
      <c r="B18" s="6" t="s">
        <v>6</v>
      </c>
      <c r="C18" s="7">
        <f>ROUNDDOWN(($C$7*(1+$C$6/100))*(1+$C$9/100)*(1+$C$10/100)*1.2,0)</f>
        <v>18972</v>
      </c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</row>
    <row r="19" spans="2:58" x14ac:dyDescent="0.3">
      <c r="B19" s="6" t="s">
        <v>7</v>
      </c>
      <c r="C19" s="7">
        <f>ROUNDDOWN(($C$7*(1+$C$6/100))*(1+(0.5+$C$8/100))*(1+$C$9/100)*(1+$C$10/100)*1.2,0)</f>
        <v>28458</v>
      </c>
      <c r="O19" s="14" t="s">
        <v>35</v>
      </c>
      <c r="P19" s="12">
        <f>ROUNDDOWN((1-$C$11/100)*ROUNDDOWN(($P$15*(1+$C$6/100))*(1+$C$9/100)*(1+$C$10/100),0)+($C$11/100)*ROUNDDOWN(($P$15*(1+$C$6/100))*(1+(0.5+$C$8/100))*(1+$C$9/100)*(1+$C$10/100),0),0)</f>
        <v>988</v>
      </c>
      <c r="Q19" s="11" t="s">
        <v>38</v>
      </c>
      <c r="R19" s="1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</row>
    <row r="20" spans="2:58" x14ac:dyDescent="0.3">
      <c r="O20" s="14" t="s">
        <v>36</v>
      </c>
      <c r="P20" s="12">
        <f>ROUNDDOWN((1-$C$11/100)*ROUNDDOWN(($P$16*(1+$C$6/100))*(1+$C$9/100)*(1+$C$10/100),0)+($C$11/100)*ROUNDDOWN(($P$16*(1+$C$6/100))*(1+(0.5+$C$8/100))*(1+$C$9/100)*(1+$C$10/100),0),0)</f>
        <v>2762</v>
      </c>
      <c r="S20" s="1"/>
      <c r="V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</row>
    <row r="21" spans="2:58" x14ac:dyDescent="0.3">
      <c r="B21" s="23" t="s">
        <v>47</v>
      </c>
      <c r="C21" s="12"/>
      <c r="P21" s="1"/>
      <c r="S21" s="1"/>
      <c r="V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</row>
    <row r="22" spans="2:58" x14ac:dyDescent="0.3">
      <c r="B22" s="23" t="s">
        <v>46</v>
      </c>
      <c r="C22" s="12"/>
      <c r="O22" t="s">
        <v>49</v>
      </c>
      <c r="P22" s="1"/>
      <c r="S22" s="1"/>
      <c r="V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</row>
    <row r="23" spans="2:58" x14ac:dyDescent="0.3">
      <c r="B23" s="23" t="s">
        <v>48</v>
      </c>
      <c r="C23" s="12"/>
      <c r="O23" s="37" t="s">
        <v>39</v>
      </c>
      <c r="P23" s="12" t="s">
        <v>18</v>
      </c>
      <c r="Q23" s="16">
        <f>$P$12</f>
        <v>99</v>
      </c>
      <c r="R23" s="37" t="s">
        <v>40</v>
      </c>
      <c r="S23" s="12" t="s">
        <v>18</v>
      </c>
      <c r="T23" s="16">
        <f>$P$12*40</f>
        <v>3960</v>
      </c>
      <c r="U23" s="37" t="s">
        <v>41</v>
      </c>
      <c r="V23" s="12" t="s">
        <v>18</v>
      </c>
      <c r="W23" s="16">
        <f>$P$12*120</f>
        <v>11880</v>
      </c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</row>
    <row r="24" spans="2:58" x14ac:dyDescent="0.3">
      <c r="O24" s="37"/>
      <c r="P24" s="12" t="s">
        <v>16</v>
      </c>
      <c r="Q24" s="16">
        <f>$P$19*2</f>
        <v>1976</v>
      </c>
      <c r="R24" s="37"/>
      <c r="S24" s="12" t="s">
        <v>16</v>
      </c>
      <c r="T24" s="16">
        <f>$P$19*120</f>
        <v>118560</v>
      </c>
      <c r="U24" s="37"/>
      <c r="V24" s="12" t="s">
        <v>16</v>
      </c>
      <c r="W24" s="16">
        <f>$P$19*360</f>
        <v>355680</v>
      </c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</row>
    <row r="25" spans="2:58" x14ac:dyDescent="0.3">
      <c r="B25" s="10" t="s">
        <v>12</v>
      </c>
      <c r="C25" s="9" t="s">
        <v>85</v>
      </c>
      <c r="O25" s="37"/>
      <c r="P25" s="12" t="s">
        <v>19</v>
      </c>
      <c r="Q25" s="16">
        <f>$P$20</f>
        <v>2762</v>
      </c>
      <c r="R25" s="37"/>
      <c r="S25" s="12" t="s">
        <v>19</v>
      </c>
      <c r="T25" s="16">
        <f>$P$20*40</f>
        <v>110480</v>
      </c>
      <c r="U25" s="37"/>
      <c r="V25" s="12" t="s">
        <v>19</v>
      </c>
      <c r="W25" s="16">
        <f>$P$20*120</f>
        <v>331440</v>
      </c>
    </row>
    <row r="26" spans="2:58" x14ac:dyDescent="0.3">
      <c r="B26" s="10" t="s">
        <v>13</v>
      </c>
      <c r="C26" s="9" t="s">
        <v>87</v>
      </c>
      <c r="O26" s="2"/>
    </row>
    <row r="27" spans="2:58" x14ac:dyDescent="0.3">
      <c r="B27" s="10" t="s">
        <v>45</v>
      </c>
      <c r="C27" s="9"/>
      <c r="O27" t="s">
        <v>34</v>
      </c>
    </row>
    <row r="28" spans="2:58" x14ac:dyDescent="0.3">
      <c r="O28" s="11" t="s">
        <v>37</v>
      </c>
    </row>
    <row r="29" spans="2:58" x14ac:dyDescent="0.3">
      <c r="B29" s="5" t="s">
        <v>91</v>
      </c>
    </row>
    <row r="32" spans="2:58" x14ac:dyDescent="0.3">
      <c r="B32" s="38" t="s">
        <v>43</v>
      </c>
      <c r="C32" s="38"/>
      <c r="D32" s="38"/>
      <c r="E32" s="38"/>
      <c r="F32" s="38"/>
      <c r="G32" s="38"/>
      <c r="H32" s="38"/>
      <c r="I32" s="38"/>
      <c r="J32" s="38"/>
      <c r="K32" s="38"/>
      <c r="O32" s="38" t="s">
        <v>53</v>
      </c>
      <c r="P32" s="38"/>
      <c r="Q32" s="38"/>
      <c r="R32" s="38"/>
      <c r="S32" s="38"/>
      <c r="T32" s="38"/>
      <c r="U32" s="38"/>
      <c r="V32" s="38"/>
      <c r="W32" s="38"/>
      <c r="X32" s="38"/>
    </row>
    <row r="33" spans="2:39" ht="19.5" customHeight="1" x14ac:dyDescent="0.3">
      <c r="B33" s="38"/>
      <c r="C33" s="38"/>
      <c r="D33" s="38"/>
      <c r="E33" s="38"/>
      <c r="F33" s="38"/>
      <c r="G33" s="38"/>
      <c r="H33" s="38"/>
      <c r="I33" s="38"/>
      <c r="J33" s="38"/>
      <c r="K33" s="38"/>
      <c r="O33" s="38"/>
      <c r="P33" s="38"/>
      <c r="Q33" s="38"/>
      <c r="R33" s="38"/>
      <c r="S33" s="38"/>
      <c r="T33" s="38"/>
      <c r="U33" s="38"/>
      <c r="V33" s="38"/>
      <c r="W33" s="38"/>
      <c r="X33" s="38"/>
    </row>
    <row r="34" spans="2:39" x14ac:dyDescent="0.3">
      <c r="B34" s="36" t="s">
        <v>54</v>
      </c>
      <c r="C34" s="36"/>
      <c r="D34" s="36"/>
      <c r="E34" s="36"/>
      <c r="F34" s="36"/>
      <c r="G34" s="36"/>
      <c r="H34" s="36"/>
      <c r="I34" s="36"/>
      <c r="J34" s="36"/>
      <c r="K34" s="36"/>
    </row>
    <row r="35" spans="2:39" x14ac:dyDescent="0.3">
      <c r="B35" s="36" t="s">
        <v>55</v>
      </c>
      <c r="C35" s="36"/>
      <c r="D35" s="36"/>
      <c r="E35" s="36"/>
      <c r="F35" s="36"/>
      <c r="G35" s="36"/>
      <c r="H35" s="36"/>
      <c r="I35" s="36"/>
      <c r="J35" s="36"/>
      <c r="K35" s="36"/>
    </row>
    <row r="36" spans="2:39" x14ac:dyDescent="0.3">
      <c r="B36" s="36" t="s">
        <v>14</v>
      </c>
      <c r="C36" s="36"/>
      <c r="D36" s="36"/>
      <c r="E36" s="36"/>
      <c r="F36" s="36"/>
      <c r="G36" s="36"/>
      <c r="H36" s="36"/>
      <c r="I36" s="36"/>
      <c r="J36" s="36"/>
      <c r="K36" s="36"/>
      <c r="R36" s="1"/>
    </row>
    <row r="37" spans="2:39" x14ac:dyDescent="0.3">
      <c r="O37" s="25"/>
      <c r="P37" s="1"/>
      <c r="R37" s="1"/>
      <c r="T37" s="1" t="s">
        <v>148</v>
      </c>
      <c r="AE37"/>
      <c r="AF37" s="41" t="s">
        <v>113</v>
      </c>
      <c r="AG37" s="41"/>
      <c r="AH37" s="41"/>
    </row>
    <row r="38" spans="2:39" x14ac:dyDescent="0.3">
      <c r="L38" t="s">
        <v>150</v>
      </c>
      <c r="M38" t="s">
        <v>151</v>
      </c>
      <c r="O38" s="25"/>
      <c r="P38" s="39" t="s">
        <v>95</v>
      </c>
      <c r="Q38" s="39"/>
      <c r="R38" s="40" t="s">
        <v>96</v>
      </c>
      <c r="S38" s="40"/>
      <c r="T38" s="43" t="s">
        <v>118</v>
      </c>
      <c r="U38" s="43"/>
      <c r="V38" s="43"/>
      <c r="W38" s="42" t="s">
        <v>153</v>
      </c>
      <c r="X38" s="42"/>
      <c r="Y38" t="s">
        <v>154</v>
      </c>
      <c r="AB38" s="31"/>
      <c r="AC38" s="31"/>
      <c r="AD38" s="31"/>
      <c r="AE38" s="31"/>
      <c r="AF38" s="31"/>
      <c r="AG38" s="32"/>
      <c r="AH38" s="31"/>
    </row>
    <row r="39" spans="2:39" x14ac:dyDescent="0.3">
      <c r="O39" s="25"/>
      <c r="P39" s="28" t="s">
        <v>93</v>
      </c>
      <c r="Q39" s="28" t="s">
        <v>94</v>
      </c>
      <c r="R39" s="27" t="s">
        <v>124</v>
      </c>
      <c r="S39" s="27" t="s">
        <v>94</v>
      </c>
      <c r="T39" s="34" t="s">
        <v>93</v>
      </c>
      <c r="U39" s="34" t="s">
        <v>119</v>
      </c>
      <c r="V39" s="34" t="s">
        <v>120</v>
      </c>
      <c r="W39" s="30" t="s">
        <v>98</v>
      </c>
      <c r="X39" s="30" t="s">
        <v>99</v>
      </c>
      <c r="Y39" s="1" t="s">
        <v>158</v>
      </c>
      <c r="AB39" s="31"/>
      <c r="AC39" s="33" t="s">
        <v>100</v>
      </c>
      <c r="AD39" s="31" t="s">
        <v>103</v>
      </c>
      <c r="AE39" s="31" t="s">
        <v>104</v>
      </c>
      <c r="AF39" s="31" t="s">
        <v>105</v>
      </c>
      <c r="AG39" s="32" t="s">
        <v>106</v>
      </c>
      <c r="AH39" s="31" t="s">
        <v>107</v>
      </c>
      <c r="AI39" t="s">
        <v>108</v>
      </c>
      <c r="AJ39" t="s">
        <v>109</v>
      </c>
      <c r="AK39" t="s">
        <v>114</v>
      </c>
      <c r="AL39" t="s">
        <v>115</v>
      </c>
      <c r="AM39" t="s">
        <v>116</v>
      </c>
    </row>
    <row r="40" spans="2:39" x14ac:dyDescent="0.3">
      <c r="B40" t="s">
        <v>56</v>
      </c>
      <c r="C40" t="s">
        <v>89</v>
      </c>
      <c r="M40" t="s">
        <v>152</v>
      </c>
      <c r="N40" t="s">
        <v>117</v>
      </c>
      <c r="O40" s="26" t="s">
        <v>92</v>
      </c>
      <c r="P40" s="28">
        <v>11</v>
      </c>
      <c r="Q40" s="28">
        <v>10</v>
      </c>
      <c r="R40" s="27" t="s">
        <v>100</v>
      </c>
      <c r="S40" s="27">
        <v>10</v>
      </c>
      <c r="T40" s="34">
        <v>100</v>
      </c>
      <c r="U40" s="34">
        <v>0</v>
      </c>
      <c r="V40" s="34">
        <v>0</v>
      </c>
      <c r="W40" s="30"/>
      <c r="X40" s="30"/>
      <c r="Y40" s="1" t="s">
        <v>157</v>
      </c>
      <c r="Z40">
        <v>50</v>
      </c>
      <c r="AB40" s="31" t="s">
        <v>96</v>
      </c>
      <c r="AC40" s="32">
        <v>10</v>
      </c>
      <c r="AD40" s="32">
        <v>20</v>
      </c>
      <c r="AE40" s="32">
        <v>50</v>
      </c>
      <c r="AF40" s="32">
        <v>75</v>
      </c>
      <c r="AG40" s="32">
        <v>100</v>
      </c>
      <c r="AH40" s="32" t="s">
        <v>110</v>
      </c>
      <c r="AI40" s="1" t="s">
        <v>110</v>
      </c>
      <c r="AJ40" s="1" t="s">
        <v>110</v>
      </c>
      <c r="AK40" s="1" t="s">
        <v>110</v>
      </c>
      <c r="AL40" s="1" t="s">
        <v>110</v>
      </c>
      <c r="AM40" s="1" t="s">
        <v>110</v>
      </c>
    </row>
    <row r="41" spans="2:39" x14ac:dyDescent="0.3">
      <c r="B41" t="s">
        <v>57</v>
      </c>
      <c r="C41" t="s">
        <v>90</v>
      </c>
      <c r="J41" t="s">
        <v>155</v>
      </c>
      <c r="K41" t="s">
        <v>156</v>
      </c>
      <c r="O41" s="26" t="s">
        <v>97</v>
      </c>
      <c r="P41" s="28">
        <v>11</v>
      </c>
      <c r="Q41" s="28">
        <v>20</v>
      </c>
      <c r="R41" s="27" t="s">
        <v>100</v>
      </c>
      <c r="S41" s="27">
        <v>10</v>
      </c>
      <c r="T41" s="34">
        <v>200</v>
      </c>
      <c r="U41" s="34">
        <v>20</v>
      </c>
      <c r="V41" s="34">
        <v>0</v>
      </c>
      <c r="W41" s="30"/>
      <c r="X41" s="30"/>
      <c r="AB41" s="31" t="s">
        <v>101</v>
      </c>
      <c r="AC41" s="32">
        <v>3</v>
      </c>
      <c r="AD41" s="32">
        <v>6</v>
      </c>
      <c r="AE41" s="32">
        <v>16</v>
      </c>
      <c r="AF41" s="32">
        <v>24</v>
      </c>
      <c r="AG41" s="32">
        <v>33</v>
      </c>
      <c r="AH41" s="32" t="s">
        <v>111</v>
      </c>
      <c r="AI41" s="1" t="s">
        <v>111</v>
      </c>
      <c r="AJ41" s="1" t="s">
        <v>111</v>
      </c>
      <c r="AK41" s="1" t="s">
        <v>111</v>
      </c>
      <c r="AL41" s="1" t="s">
        <v>111</v>
      </c>
      <c r="AM41" s="1" t="s">
        <v>111</v>
      </c>
    </row>
    <row r="42" spans="2:39" x14ac:dyDescent="0.3">
      <c r="B42" t="s">
        <v>58</v>
      </c>
      <c r="C42" t="s">
        <v>59</v>
      </c>
      <c r="L42" t="s">
        <v>125</v>
      </c>
      <c r="M42" t="s">
        <v>123</v>
      </c>
      <c r="N42" t="s">
        <v>122</v>
      </c>
      <c r="O42" s="25" t="s">
        <v>121</v>
      </c>
      <c r="P42" s="28">
        <v>55</v>
      </c>
      <c r="Q42" s="28">
        <v>25</v>
      </c>
      <c r="R42" s="27" t="s">
        <v>104</v>
      </c>
      <c r="S42" s="27">
        <v>50</v>
      </c>
      <c r="T42" s="34">
        <v>250</v>
      </c>
      <c r="U42" s="34">
        <v>25</v>
      </c>
      <c r="V42" s="34">
        <v>0</v>
      </c>
      <c r="W42" s="30"/>
      <c r="X42" s="30"/>
      <c r="AB42" s="31" t="s">
        <v>102</v>
      </c>
      <c r="AC42" s="32">
        <v>9</v>
      </c>
      <c r="AD42" s="32">
        <v>18</v>
      </c>
      <c r="AE42" s="32">
        <v>45</v>
      </c>
      <c r="AF42" s="32">
        <v>68</v>
      </c>
      <c r="AG42" s="32">
        <v>90</v>
      </c>
      <c r="AH42" s="32" t="s">
        <v>112</v>
      </c>
      <c r="AI42" s="1" t="s">
        <v>112</v>
      </c>
      <c r="AJ42" s="1" t="s">
        <v>112</v>
      </c>
      <c r="AK42" s="1" t="s">
        <v>112</v>
      </c>
      <c r="AL42" s="1" t="s">
        <v>112</v>
      </c>
      <c r="AM42" s="1" t="s">
        <v>112</v>
      </c>
    </row>
    <row r="43" spans="2:39" x14ac:dyDescent="0.3">
      <c r="B43" t="s">
        <v>60</v>
      </c>
      <c r="C43" t="s">
        <v>61</v>
      </c>
      <c r="M43" t="s">
        <v>120</v>
      </c>
      <c r="N43" t="s">
        <v>127</v>
      </c>
      <c r="O43" s="25" t="s">
        <v>126</v>
      </c>
      <c r="P43" s="28">
        <v>70</v>
      </c>
      <c r="Q43" s="28">
        <v>30</v>
      </c>
      <c r="R43" s="27" t="s">
        <v>104</v>
      </c>
      <c r="S43" s="27">
        <v>50</v>
      </c>
      <c r="T43" s="34">
        <v>300</v>
      </c>
      <c r="U43" s="34">
        <v>30</v>
      </c>
      <c r="V43" s="34">
        <v>5</v>
      </c>
      <c r="W43" s="30"/>
      <c r="X43" s="30"/>
      <c r="AB43" s="31"/>
      <c r="AC43" s="32"/>
      <c r="AD43" s="32"/>
      <c r="AE43" s="32"/>
      <c r="AF43" s="32"/>
      <c r="AG43" s="32"/>
      <c r="AH43" s="32"/>
      <c r="AI43" s="1"/>
      <c r="AJ43" s="1"/>
    </row>
    <row r="44" spans="2:39" x14ac:dyDescent="0.3">
      <c r="B44" t="s">
        <v>62</v>
      </c>
      <c r="C44" t="s">
        <v>64</v>
      </c>
      <c r="J44" t="s">
        <v>130</v>
      </c>
      <c r="K44" t="s">
        <v>131</v>
      </c>
      <c r="M44" t="s">
        <v>129</v>
      </c>
      <c r="N44" t="s">
        <v>122</v>
      </c>
      <c r="O44" s="25" t="s">
        <v>128</v>
      </c>
      <c r="P44" s="28" t="s">
        <v>132</v>
      </c>
      <c r="Q44" s="28" t="s">
        <v>132</v>
      </c>
      <c r="R44" s="27" t="s">
        <v>104</v>
      </c>
      <c r="S44" s="27">
        <v>50</v>
      </c>
      <c r="T44" s="34">
        <v>300</v>
      </c>
      <c r="U44" s="34">
        <v>30</v>
      </c>
      <c r="V44" s="34">
        <v>5</v>
      </c>
      <c r="W44" s="30"/>
      <c r="X44" s="30"/>
      <c r="AB44" s="31"/>
      <c r="AC44" s="31"/>
      <c r="AD44" s="31"/>
      <c r="AE44" s="31"/>
      <c r="AF44" s="31"/>
      <c r="AG44" s="32"/>
      <c r="AH44" s="31"/>
    </row>
    <row r="45" spans="2:39" x14ac:dyDescent="0.3">
      <c r="B45" t="s">
        <v>63</v>
      </c>
      <c r="C45" t="s">
        <v>77</v>
      </c>
      <c r="O45" s="25"/>
      <c r="P45" s="28"/>
      <c r="Q45" s="28"/>
      <c r="R45" s="27"/>
      <c r="S45" s="27"/>
      <c r="T45" s="34"/>
      <c r="U45" s="34"/>
      <c r="V45" s="34"/>
      <c r="W45" s="35" t="s">
        <v>149</v>
      </c>
      <c r="X45" s="30"/>
    </row>
    <row r="46" spans="2:39" x14ac:dyDescent="0.3">
      <c r="B46" t="s">
        <v>65</v>
      </c>
      <c r="C46" t="s">
        <v>67</v>
      </c>
      <c r="N46" t="s">
        <v>134</v>
      </c>
      <c r="O46" s="25" t="s">
        <v>133</v>
      </c>
      <c r="P46" s="28">
        <v>110</v>
      </c>
      <c r="Q46" s="28">
        <v>35</v>
      </c>
      <c r="R46" s="27" t="s">
        <v>105</v>
      </c>
      <c r="S46" s="27">
        <v>75</v>
      </c>
      <c r="T46" s="34">
        <v>500</v>
      </c>
      <c r="U46" s="34">
        <v>30</v>
      </c>
      <c r="V46" s="34">
        <v>15</v>
      </c>
      <c r="W46" s="30"/>
      <c r="X46" s="30"/>
    </row>
    <row r="47" spans="2:39" x14ac:dyDescent="0.3">
      <c r="B47" t="s">
        <v>66</v>
      </c>
      <c r="C47" t="s">
        <v>68</v>
      </c>
      <c r="J47" t="s">
        <v>141</v>
      </c>
      <c r="L47" t="s">
        <v>122</v>
      </c>
      <c r="M47" t="s">
        <v>142</v>
      </c>
      <c r="O47" s="25" t="s">
        <v>135</v>
      </c>
      <c r="P47" s="28"/>
      <c r="Q47" s="28">
        <v>40</v>
      </c>
      <c r="R47" s="27" t="s">
        <v>106</v>
      </c>
      <c r="S47" s="27">
        <v>100</v>
      </c>
      <c r="T47" s="34">
        <v>500</v>
      </c>
      <c r="U47" s="34">
        <v>30</v>
      </c>
      <c r="V47" s="34">
        <v>15</v>
      </c>
      <c r="W47" s="30"/>
      <c r="X47" s="30"/>
    </row>
    <row r="48" spans="2:39" x14ac:dyDescent="0.3">
      <c r="O48" s="25" t="s">
        <v>136</v>
      </c>
      <c r="P48" s="28"/>
      <c r="Q48" s="28">
        <v>45</v>
      </c>
      <c r="R48" s="27" t="s">
        <v>106</v>
      </c>
      <c r="S48" s="27"/>
      <c r="T48" s="34"/>
      <c r="U48" s="34"/>
      <c r="V48" s="34"/>
      <c r="W48" s="30"/>
      <c r="X48" s="30"/>
    </row>
    <row r="49" spans="2:24" x14ac:dyDescent="0.3">
      <c r="O49" s="25" t="s">
        <v>137</v>
      </c>
      <c r="P49" s="28"/>
      <c r="Q49" s="28">
        <v>50</v>
      </c>
      <c r="R49" s="27" t="s">
        <v>106</v>
      </c>
      <c r="S49" s="27"/>
      <c r="T49" s="34"/>
      <c r="U49" s="34"/>
      <c r="V49" s="34"/>
      <c r="W49" s="30"/>
      <c r="X49" s="30"/>
    </row>
    <row r="50" spans="2:24" x14ac:dyDescent="0.3">
      <c r="B50" t="s">
        <v>70</v>
      </c>
      <c r="C50" t="s">
        <v>81</v>
      </c>
      <c r="N50" t="s">
        <v>143</v>
      </c>
      <c r="O50" s="25" t="s">
        <v>138</v>
      </c>
      <c r="P50" s="28"/>
      <c r="Q50" s="28">
        <v>55</v>
      </c>
      <c r="R50" s="27" t="s">
        <v>106</v>
      </c>
      <c r="S50" s="27">
        <v>100</v>
      </c>
      <c r="T50" s="34">
        <v>500</v>
      </c>
      <c r="U50" s="34">
        <v>30</v>
      </c>
      <c r="V50" s="34">
        <v>15</v>
      </c>
      <c r="W50" s="30"/>
      <c r="X50" s="30"/>
    </row>
    <row r="51" spans="2:24" x14ac:dyDescent="0.3">
      <c r="B51" t="s">
        <v>71</v>
      </c>
      <c r="C51" t="s">
        <v>73</v>
      </c>
      <c r="O51" s="25"/>
      <c r="P51" s="28"/>
      <c r="Q51" s="28"/>
      <c r="R51" s="27"/>
      <c r="S51" s="27"/>
      <c r="T51" s="34"/>
      <c r="U51" s="34"/>
      <c r="V51" s="34"/>
      <c r="W51" s="30"/>
      <c r="X51" s="30"/>
    </row>
    <row r="52" spans="2:24" x14ac:dyDescent="0.3">
      <c r="B52" t="s">
        <v>72</v>
      </c>
      <c r="C52" t="s">
        <v>74</v>
      </c>
      <c r="O52" s="25" t="s">
        <v>139</v>
      </c>
      <c r="P52" s="28"/>
      <c r="Q52" s="28"/>
      <c r="R52" s="27" t="s">
        <v>140</v>
      </c>
      <c r="S52" s="27"/>
      <c r="T52" s="34"/>
      <c r="U52" s="34"/>
      <c r="V52" s="34"/>
      <c r="W52" s="30"/>
      <c r="X52" s="30"/>
    </row>
    <row r="53" spans="2:24" x14ac:dyDescent="0.3">
      <c r="B53" t="s">
        <v>60</v>
      </c>
      <c r="C53" t="s">
        <v>61</v>
      </c>
      <c r="O53" s="25" t="s">
        <v>144</v>
      </c>
      <c r="P53" s="28"/>
      <c r="Q53" s="28"/>
      <c r="R53" s="27"/>
      <c r="S53" s="27"/>
      <c r="T53" s="34"/>
      <c r="U53" s="34"/>
      <c r="V53" s="34"/>
      <c r="W53" s="30"/>
      <c r="X53" s="30"/>
    </row>
    <row r="54" spans="2:24" x14ac:dyDescent="0.3">
      <c r="B54" t="s">
        <v>78</v>
      </c>
      <c r="C54" t="s">
        <v>79</v>
      </c>
      <c r="O54" s="25" t="s">
        <v>145</v>
      </c>
      <c r="P54" s="28"/>
      <c r="Q54" s="28"/>
      <c r="R54" s="27"/>
      <c r="S54" s="27"/>
      <c r="T54" s="34"/>
      <c r="U54" s="34"/>
      <c r="V54" s="34"/>
      <c r="W54" s="30"/>
      <c r="X54" s="30"/>
    </row>
    <row r="55" spans="2:24" x14ac:dyDescent="0.3">
      <c r="B55" t="s">
        <v>63</v>
      </c>
      <c r="C55" t="s">
        <v>77</v>
      </c>
      <c r="O55" s="25" t="s">
        <v>146</v>
      </c>
      <c r="P55" s="28"/>
      <c r="Q55" s="28"/>
      <c r="R55" s="27"/>
      <c r="S55" s="27"/>
      <c r="T55" s="34"/>
      <c r="U55" s="34"/>
      <c r="V55" s="34"/>
      <c r="W55" s="30"/>
      <c r="X55" s="30"/>
    </row>
    <row r="56" spans="2:24" x14ac:dyDescent="0.3">
      <c r="B56" t="s">
        <v>65</v>
      </c>
      <c r="C56" t="s">
        <v>67</v>
      </c>
      <c r="O56" s="25" t="s">
        <v>147</v>
      </c>
      <c r="P56" s="28"/>
      <c r="Q56" s="28"/>
      <c r="R56" s="27"/>
      <c r="S56" s="27"/>
      <c r="T56" s="34"/>
      <c r="U56" s="34"/>
      <c r="V56" s="34"/>
      <c r="W56" s="30"/>
      <c r="X56" s="30"/>
    </row>
    <row r="57" spans="2:24" x14ac:dyDescent="0.3">
      <c r="B57" t="s">
        <v>66</v>
      </c>
      <c r="C57" t="s">
        <v>68</v>
      </c>
      <c r="O57" s="25"/>
      <c r="P57" s="28"/>
      <c r="Q57" s="28"/>
      <c r="R57" s="27"/>
      <c r="S57" s="27"/>
      <c r="T57" s="34"/>
      <c r="U57" s="34"/>
      <c r="V57" s="34"/>
      <c r="W57" s="30"/>
      <c r="X57" s="30"/>
    </row>
    <row r="58" spans="2:24" x14ac:dyDescent="0.3">
      <c r="O58" s="25"/>
      <c r="P58" s="28"/>
      <c r="Q58" s="28"/>
      <c r="R58" s="27"/>
      <c r="S58" s="27"/>
      <c r="T58" s="34"/>
      <c r="U58" s="34"/>
      <c r="V58" s="34"/>
      <c r="W58" s="30"/>
      <c r="X58" s="30"/>
    </row>
    <row r="59" spans="2:24" x14ac:dyDescent="0.3">
      <c r="O59" s="25"/>
      <c r="P59" s="28"/>
      <c r="Q59" s="28"/>
      <c r="R59" s="27"/>
      <c r="S59" s="27"/>
      <c r="T59" s="34"/>
      <c r="U59" s="34"/>
      <c r="V59" s="34"/>
      <c r="W59" s="30"/>
      <c r="X59" s="30"/>
    </row>
    <row r="60" spans="2:24" x14ac:dyDescent="0.3">
      <c r="B60" t="s">
        <v>69</v>
      </c>
      <c r="C60" t="s">
        <v>83</v>
      </c>
      <c r="O60" s="25"/>
      <c r="P60" s="28"/>
      <c r="Q60" s="28"/>
      <c r="R60" s="27"/>
      <c r="S60" s="27"/>
      <c r="T60" s="34"/>
      <c r="U60" s="34"/>
      <c r="V60" s="34"/>
      <c r="W60" s="30"/>
      <c r="X60" s="30"/>
    </row>
    <row r="61" spans="2:24" x14ac:dyDescent="0.3">
      <c r="B61" t="s">
        <v>75</v>
      </c>
      <c r="C61" t="s">
        <v>82</v>
      </c>
      <c r="O61" s="25"/>
      <c r="P61" s="28"/>
      <c r="Q61" s="28"/>
      <c r="R61" s="27"/>
      <c r="S61" s="27"/>
      <c r="T61" s="34"/>
      <c r="U61" s="34"/>
      <c r="V61" s="34"/>
      <c r="W61" s="30"/>
      <c r="X61" s="30"/>
    </row>
    <row r="62" spans="2:24" x14ac:dyDescent="0.3">
      <c r="B62" t="s">
        <v>76</v>
      </c>
      <c r="C62" t="s">
        <v>80</v>
      </c>
      <c r="O62" s="25"/>
      <c r="P62" s="28"/>
      <c r="Q62" s="28"/>
      <c r="R62" s="27"/>
      <c r="S62" s="27"/>
      <c r="T62" s="34"/>
      <c r="U62" s="34"/>
      <c r="V62" s="34"/>
      <c r="W62" s="30"/>
      <c r="X62" s="30"/>
    </row>
    <row r="63" spans="2:24" x14ac:dyDescent="0.3">
      <c r="B63" t="s">
        <v>78</v>
      </c>
      <c r="C63" t="s">
        <v>79</v>
      </c>
      <c r="O63" s="25"/>
      <c r="P63" s="28"/>
      <c r="Q63" s="28"/>
      <c r="R63" s="27"/>
      <c r="S63" s="27"/>
      <c r="T63" s="34"/>
      <c r="U63" s="34"/>
      <c r="V63" s="34"/>
      <c r="W63" s="30"/>
      <c r="X63" s="30"/>
    </row>
    <row r="64" spans="2:24" x14ac:dyDescent="0.3">
      <c r="O64" s="25"/>
      <c r="P64" s="28"/>
      <c r="Q64" s="28"/>
      <c r="R64" s="27"/>
      <c r="S64" s="27"/>
      <c r="T64" s="34"/>
      <c r="U64" s="34"/>
      <c r="V64" s="34"/>
      <c r="W64" s="30"/>
      <c r="X64" s="30"/>
    </row>
    <row r="65" spans="2:24" x14ac:dyDescent="0.3">
      <c r="B65" t="s">
        <v>63</v>
      </c>
      <c r="C65" t="s">
        <v>77</v>
      </c>
      <c r="O65" s="25"/>
      <c r="P65" s="28"/>
      <c r="Q65" s="28"/>
      <c r="R65" s="27"/>
      <c r="S65" s="27"/>
      <c r="T65" s="34"/>
      <c r="U65" s="34"/>
      <c r="V65" s="34"/>
      <c r="W65" s="30"/>
      <c r="X65" s="30"/>
    </row>
    <row r="66" spans="2:24" x14ac:dyDescent="0.3">
      <c r="B66" t="s">
        <v>65</v>
      </c>
      <c r="C66" t="s">
        <v>67</v>
      </c>
      <c r="O66" s="25"/>
      <c r="P66" s="28"/>
      <c r="Q66" s="28"/>
      <c r="R66" s="27"/>
      <c r="S66" s="27"/>
      <c r="T66" s="34"/>
      <c r="U66" s="34"/>
      <c r="V66" s="34"/>
      <c r="W66" s="30"/>
      <c r="X66" s="30"/>
    </row>
    <row r="67" spans="2:24" x14ac:dyDescent="0.3">
      <c r="B67" t="s">
        <v>66</v>
      </c>
      <c r="C67" t="s">
        <v>68</v>
      </c>
      <c r="O67" s="25"/>
      <c r="P67" s="28"/>
      <c r="Q67" s="28"/>
      <c r="R67" s="27"/>
      <c r="S67" s="27"/>
      <c r="T67" s="34"/>
      <c r="U67" s="34"/>
      <c r="V67" s="34"/>
      <c r="W67" s="30"/>
      <c r="X67" s="30"/>
    </row>
    <row r="68" spans="2:24" x14ac:dyDescent="0.3">
      <c r="O68" s="25"/>
      <c r="P68" s="29"/>
      <c r="Q68" s="28"/>
      <c r="R68" s="27"/>
      <c r="S68" s="27"/>
      <c r="T68" s="34"/>
      <c r="U68" s="34"/>
      <c r="V68" s="34"/>
      <c r="W68" s="30"/>
      <c r="X68" s="30"/>
    </row>
    <row r="69" spans="2:24" x14ac:dyDescent="0.3">
      <c r="O69" s="25"/>
      <c r="P69" s="29"/>
      <c r="Q69" s="28"/>
      <c r="R69" s="27"/>
      <c r="S69" s="27"/>
      <c r="T69" s="34"/>
      <c r="U69" s="34"/>
      <c r="V69" s="34"/>
      <c r="W69" s="30"/>
      <c r="X69" s="30"/>
    </row>
    <row r="70" spans="2:24" x14ac:dyDescent="0.3">
      <c r="O70" s="25"/>
      <c r="P70" s="29"/>
      <c r="Q70" s="28"/>
      <c r="R70" s="27"/>
      <c r="S70" s="27"/>
      <c r="T70" s="34"/>
      <c r="U70" s="34"/>
      <c r="V70" s="34"/>
      <c r="W70" s="30"/>
      <c r="X70" s="30"/>
    </row>
    <row r="71" spans="2:24" x14ac:dyDescent="0.3">
      <c r="O71" s="25"/>
      <c r="P71" s="29"/>
      <c r="Q71" s="28"/>
      <c r="R71" s="27"/>
      <c r="S71" s="27"/>
      <c r="T71" s="34"/>
      <c r="U71" s="34"/>
      <c r="V71" s="34"/>
      <c r="W71" s="30"/>
      <c r="X71" s="30"/>
    </row>
    <row r="72" spans="2:24" x14ac:dyDescent="0.3">
      <c r="O72" s="25"/>
      <c r="P72" s="29"/>
      <c r="Q72" s="28"/>
      <c r="R72" s="27"/>
      <c r="S72" s="27"/>
      <c r="T72" s="34"/>
      <c r="U72" s="34"/>
      <c r="V72" s="34"/>
      <c r="W72" s="30"/>
      <c r="X72" s="30"/>
    </row>
    <row r="73" spans="2:24" x14ac:dyDescent="0.3">
      <c r="P73" s="29"/>
      <c r="Q73" s="28"/>
      <c r="R73" s="27"/>
      <c r="S73" s="27"/>
      <c r="T73" s="34"/>
      <c r="U73" s="34"/>
      <c r="V73" s="34"/>
      <c r="W73" s="30"/>
      <c r="X73" s="30"/>
    </row>
    <row r="74" spans="2:24" x14ac:dyDescent="0.3">
      <c r="P74" s="29"/>
      <c r="Q74" s="28"/>
      <c r="R74" s="27"/>
      <c r="S74" s="27"/>
      <c r="T74" s="34"/>
      <c r="U74" s="34"/>
      <c r="V74" s="34"/>
      <c r="W74" s="30"/>
      <c r="X74" s="30"/>
    </row>
  </sheetData>
  <mergeCells count="19">
    <mergeCell ref="P38:Q38"/>
    <mergeCell ref="R38:S38"/>
    <mergeCell ref="AF37:AH37"/>
    <mergeCell ref="W38:X38"/>
    <mergeCell ref="T38:V38"/>
    <mergeCell ref="B34:K34"/>
    <mergeCell ref="B35:K35"/>
    <mergeCell ref="B36:K36"/>
    <mergeCell ref="U23:U25"/>
    <mergeCell ref="B2:K3"/>
    <mergeCell ref="B4:K4"/>
    <mergeCell ref="B32:K33"/>
    <mergeCell ref="O4:X4"/>
    <mergeCell ref="O2:X3"/>
    <mergeCell ref="O5:X5"/>
    <mergeCell ref="O6:X6"/>
    <mergeCell ref="R23:R25"/>
    <mergeCell ref="O23:O25"/>
    <mergeCell ref="O32:X33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2023-06-27T09:32:43Z</dcterms:created>
  <dcterms:modified xsi:type="dcterms:W3CDTF">2023-07-13T03:42:03Z</dcterms:modified>
</cp:coreProperties>
</file>