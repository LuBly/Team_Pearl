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우주특공대\Team_Pearl\GameDesign\"/>
    </mc:Choice>
  </mc:AlternateContent>
  <xr:revisionPtr revIDLastSave="0" documentId="13_ncr:1_{89242D6C-6D7B-454F-A45C-7728E68E1198}" xr6:coauthVersionLast="47" xr6:coauthVersionMax="47" xr10:uidLastSave="{00000000-0000-0000-0000-000000000000}"/>
  <bookViews>
    <workbookView xWindow="-120" yWindow="-120" windowWidth="29040" windowHeight="15840" xr2:uid="{0707E0F3-27DF-42CC-B3FA-B0B66DB7B22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" i="1" l="1"/>
  <c r="Q23" i="1"/>
  <c r="F17" i="1"/>
  <c r="F16" i="1"/>
  <c r="C19" i="1"/>
  <c r="C18" i="1"/>
  <c r="C17" i="1"/>
  <c r="C16" i="1"/>
  <c r="W23" i="1"/>
  <c r="T23" i="1"/>
  <c r="P14" i="1" a="1"/>
  <c r="P14" i="1" l="1"/>
  <c r="I17" i="1"/>
  <c r="I16" i="1"/>
  <c r="P16" i="1" l="1"/>
  <c r="P20" i="1" s="1"/>
  <c r="P19" i="1" l="1"/>
  <c r="W25" i="1"/>
  <c r="Q25" i="1"/>
  <c r="T25" i="1"/>
  <c r="Q24" i="1" l="1"/>
  <c r="T24" i="1"/>
  <c r="W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<sst xmlns="http://schemas.openxmlformats.org/spreadsheetml/2006/main" count="115" uniqueCount="92">
  <si>
    <t>총기 공격력</t>
    <phoneticPr fontId="4" type="noConversion"/>
  </si>
  <si>
    <t>치명타 피해 증가(%)</t>
    <phoneticPr fontId="4" type="noConversion"/>
  </si>
  <si>
    <t>기본공격 피해 증가(%)</t>
    <phoneticPr fontId="4" type="noConversion"/>
  </si>
  <si>
    <t>최종 데미지 증가(%)</t>
    <phoneticPr fontId="4" type="noConversion"/>
  </si>
  <si>
    <t>평타 (노크리)</t>
    <phoneticPr fontId="4" type="noConversion"/>
  </si>
  <si>
    <t>평타 (크리)</t>
    <phoneticPr fontId="4" type="noConversion"/>
  </si>
  <si>
    <t>평타 (노크리 + 대쉬)</t>
    <phoneticPr fontId="4" type="noConversion"/>
  </si>
  <si>
    <t>평타 (크리 + 대쉬)</t>
    <phoneticPr fontId="4" type="noConversion"/>
  </si>
  <si>
    <t>스킬 (노크리)</t>
    <phoneticPr fontId="4" type="noConversion"/>
  </si>
  <si>
    <t>스킬 (크리)</t>
    <phoneticPr fontId="4" type="noConversion"/>
  </si>
  <si>
    <t>스킬 계수</t>
    <phoneticPr fontId="4" type="noConversion"/>
  </si>
  <si>
    <t>스킬 피해 증가(%)</t>
    <phoneticPr fontId="4" type="noConversion"/>
  </si>
  <si>
    <t>평타 데미지 산정 공식</t>
    <phoneticPr fontId="4" type="noConversion"/>
  </si>
  <si>
    <t>스킬 데미지 산정 공식</t>
    <phoneticPr fontId="4" type="noConversion"/>
  </si>
  <si>
    <t>피해량 증가는 합연산으로 계산된다.</t>
    <phoneticPr fontId="4" type="noConversion"/>
  </si>
  <si>
    <t>치명타 확률(%)</t>
    <phoneticPr fontId="4" type="noConversion"/>
  </si>
  <si>
    <t>AR</t>
    <phoneticPr fontId="4" type="noConversion"/>
  </si>
  <si>
    <t>1. 공격력 계산기</t>
    <phoneticPr fontId="4" type="noConversion"/>
  </si>
  <si>
    <t>SG</t>
    <phoneticPr fontId="4" type="noConversion"/>
  </si>
  <si>
    <t>SR</t>
    <phoneticPr fontId="4" type="noConversion"/>
  </si>
  <si>
    <t>평타 데미지 기대값</t>
    <phoneticPr fontId="4" type="noConversion"/>
  </si>
  <si>
    <t>스킬 데미지 기대값</t>
    <phoneticPr fontId="4" type="noConversion"/>
  </si>
  <si>
    <t>*치명타 확률을 고려한 데미지를 의미함</t>
    <phoneticPr fontId="4" type="noConversion"/>
  </si>
  <si>
    <t>일반 몬스터 체력</t>
    <phoneticPr fontId="4" type="noConversion"/>
  </si>
  <si>
    <t>2. 총기 공격력 밸런스 계산기</t>
    <phoneticPr fontId="4" type="noConversion"/>
  </si>
  <si>
    <t>총기 공격력을 세팅하는 방법은 다음과 같다.</t>
    <phoneticPr fontId="4" type="noConversion"/>
  </si>
  <si>
    <t>1. 총기 공격력을 제외한 나머지 값을 좌측 공격력 계산기에 입력한다.</t>
    <phoneticPr fontId="4" type="noConversion"/>
  </si>
  <si>
    <t>2. 이를 기준으로 SG의 총기 공격력과 일반 스테이지 몬스터의 체력을 설정한다.</t>
    <phoneticPr fontId="4" type="noConversion"/>
  </si>
  <si>
    <t>1. 일반 스테이지 몬스터의 체력은 해당 스테이지 적정 스펙인 SG의 평타 기대값과 동일하게 설정한다. (투사체 6개 전부 맞힐 시 원킬)</t>
    <phoneticPr fontId="4" type="noConversion"/>
  </si>
  <si>
    <t>SG 적정 총기 공격력</t>
    <phoneticPr fontId="4" type="noConversion"/>
  </si>
  <si>
    <t>AR 적정 총기 공격력</t>
    <phoneticPr fontId="4" type="noConversion"/>
  </si>
  <si>
    <t>SR 적정 총기 공격력</t>
    <phoneticPr fontId="4" type="noConversion"/>
  </si>
  <si>
    <t>* 1.1로 나누기 (1대 때리면 실피가 남도록)</t>
    <phoneticPr fontId="4" type="noConversion"/>
  </si>
  <si>
    <t>2. 일반 몬스터 체력을 입력하면 나머지는 전부 자동으로 계산된다. (ShotgunPower함수)</t>
    <phoneticPr fontId="4" type="noConversion"/>
  </si>
  <si>
    <t>SR의 경우 스킬계수를 높게 설정하여 보스전에서 좋은 성능을 발휘할 수 있도록 할 예정</t>
    <phoneticPr fontId="4" type="noConversion"/>
  </si>
  <si>
    <t>AR 평타 기대값</t>
    <phoneticPr fontId="4" type="noConversion"/>
  </si>
  <si>
    <t>SR 평타 기대값</t>
    <phoneticPr fontId="4" type="noConversion"/>
  </si>
  <si>
    <t>(보스 스테이지의 플레이타임은 SR이 궁극기 사이클을 몇 번이나 돌릴 수 있는지를 기준으로 설계한다.)</t>
    <phoneticPr fontId="4" type="noConversion"/>
  </si>
  <si>
    <t>* 총기 공격력을 기반으로 한 평타의 기대값은 다음과 같다.</t>
    <phoneticPr fontId="4" type="noConversion"/>
  </si>
  <si>
    <t>평타 DPS</t>
    <phoneticPr fontId="4" type="noConversion"/>
  </si>
  <si>
    <t>평타 DPM</t>
    <phoneticPr fontId="4" type="noConversion"/>
  </si>
  <si>
    <t>평타 DP3M</t>
    <phoneticPr fontId="4" type="noConversion"/>
  </si>
  <si>
    <t>* SG 평타 기대값과 동일</t>
    <phoneticPr fontId="4" type="noConversion"/>
  </si>
  <si>
    <t>3. 스킬 계수 밸런스 계산기</t>
    <phoneticPr fontId="4" type="noConversion"/>
  </si>
  <si>
    <t>최대 HP</t>
    <phoneticPr fontId="4" type="noConversion"/>
  </si>
  <si>
    <t>전투력 산정 공식</t>
    <phoneticPr fontId="4" type="noConversion"/>
  </si>
  <si>
    <t>전투력 (AR)</t>
    <phoneticPr fontId="4" type="noConversion"/>
  </si>
  <si>
    <t>전투력 (SG)</t>
    <phoneticPr fontId="4" type="noConversion"/>
  </si>
  <si>
    <t>전투력 (SR)</t>
    <phoneticPr fontId="4" type="noConversion"/>
  </si>
  <si>
    <t>최고 등급 무기 기준 공격속도 (SG: 0.67, AR: 2, SR: 0.67) / 등급 낮은 무기들은 1:3:1 비율 유지한 채로 조금씩 낮추기</t>
    <phoneticPr fontId="4" type="noConversion"/>
  </si>
  <si>
    <t>SG 적정 총기 전투력</t>
    <phoneticPr fontId="4" type="noConversion"/>
  </si>
  <si>
    <t>AR 적정 총기 전투력</t>
    <phoneticPr fontId="4" type="noConversion"/>
  </si>
  <si>
    <t>SR 적정 총기 전투력</t>
    <phoneticPr fontId="4" type="noConversion"/>
  </si>
  <si>
    <t>4. 챕터 밸런스 계산기</t>
    <phoneticPr fontId="4" type="noConversion"/>
  </si>
  <si>
    <t>스킬 계수를 세팅하는 방법은 다음과 같다.</t>
    <phoneticPr fontId="4" type="noConversion"/>
  </si>
  <si>
    <t xml:space="preserve">1. 총기 공격력을 제외한 </t>
    <phoneticPr fontId="4" type="noConversion"/>
  </si>
  <si>
    <t>SR 1스</t>
    <phoneticPr fontId="4" type="noConversion"/>
  </si>
  <si>
    <t>SR 2스</t>
    <phoneticPr fontId="4" type="noConversion"/>
  </si>
  <si>
    <t>SR 궁극기</t>
    <phoneticPr fontId="4" type="noConversion"/>
  </si>
  <si>
    <t>스나이핑</t>
    <phoneticPr fontId="4" type="noConversion"/>
  </si>
  <si>
    <t>드론</t>
    <phoneticPr fontId="4" type="noConversion"/>
  </si>
  <si>
    <t>가장 가까운 적 1명에게 3초마다 데미지</t>
    <phoneticPr fontId="4" type="noConversion"/>
  </si>
  <si>
    <t>자기장</t>
    <phoneticPr fontId="4" type="noConversion"/>
  </si>
  <si>
    <t>회복</t>
    <phoneticPr fontId="4" type="noConversion"/>
  </si>
  <si>
    <t>가장 가까운 적 1명에게 10초마다 데미지 (번개가 내리침)</t>
    <phoneticPr fontId="4" type="noConversion"/>
  </si>
  <si>
    <t>패시브1</t>
    <phoneticPr fontId="4" type="noConversion"/>
  </si>
  <si>
    <t>패시브2</t>
    <phoneticPr fontId="4" type="noConversion"/>
  </si>
  <si>
    <t>치명타 데미지 증가</t>
    <phoneticPr fontId="4" type="noConversion"/>
  </si>
  <si>
    <t>최종 데미지 증가</t>
    <phoneticPr fontId="4" type="noConversion"/>
  </si>
  <si>
    <t>SG 1스</t>
    <phoneticPr fontId="4" type="noConversion"/>
  </si>
  <si>
    <t>AR 1스</t>
    <phoneticPr fontId="4" type="noConversion"/>
  </si>
  <si>
    <t>AR 2스</t>
    <phoneticPr fontId="4" type="noConversion"/>
  </si>
  <si>
    <t>AR 궁극기</t>
    <phoneticPr fontId="4" type="noConversion"/>
  </si>
  <si>
    <t>파편 수류탄</t>
    <phoneticPr fontId="4" type="noConversion"/>
  </si>
  <si>
    <t>포격 지원</t>
    <phoneticPr fontId="4" type="noConversion"/>
  </si>
  <si>
    <t>SG 2스</t>
    <phoneticPr fontId="4" type="noConversion"/>
  </si>
  <si>
    <t>SG 궁극기</t>
    <phoneticPr fontId="4" type="noConversion"/>
  </si>
  <si>
    <t>10초에 1번 HP의 10% 회복</t>
    <phoneticPr fontId="4" type="noConversion"/>
  </si>
  <si>
    <t>판넬</t>
    <phoneticPr fontId="4" type="noConversion"/>
  </si>
  <si>
    <t>플레이어 주변을 도는 3개의 판넬</t>
    <phoneticPr fontId="4" type="noConversion"/>
  </si>
  <si>
    <t>원형의 범위에 5번 피해를 준다.</t>
    <phoneticPr fontId="4" type="noConversion"/>
  </si>
  <si>
    <t>전방을 향해 부채꼴 모양으로 난사하여 1초 간격으로 3번의 피해를 입힌다. (이동하면서 공격 가능)</t>
    <phoneticPr fontId="4" type="noConversion"/>
  </si>
  <si>
    <t>적들을 관통하는 강력한 한 방을 부채꼴 범위로 발사</t>
    <phoneticPr fontId="4" type="noConversion"/>
  </si>
  <si>
    <t>적들을 관통하는 화염 탄환 3개를 부채꼴 모양으로 발사</t>
    <phoneticPr fontId="4" type="noConversion"/>
  </si>
  <si>
    <t>성장 총기 공격력(%)</t>
    <phoneticPr fontId="4" type="noConversion"/>
  </si>
  <si>
    <t>(총기 공격력*(1 + 성장 총기 공격력%)) * (1+치명타 발생 시(기본 치명타 피해량 50%+치명타 피해 증가%)) * (1+기본공격 추가 피해%) * (1+최종 데미지 증가%) * (1+대쉬 여부20%)</t>
    <phoneticPr fontId="4" type="noConversion"/>
  </si>
  <si>
    <t>* 3.1로 나누기 (3대 때리면 실피가 남도록)</t>
    <phoneticPr fontId="4" type="noConversion"/>
  </si>
  <si>
    <t>((총기 공격력*(1 + 성장 총기 공격력%)) * (스킬 계수)) * (1+치명타 발생 시(0.5+치명타 피해 증가%)) * (1+스킬 추가 피해%) * (1+최종 데미지 증가%)</t>
    <phoneticPr fontId="4" type="noConversion"/>
  </si>
  <si>
    <t xml:space="preserve">3. SG의 총기 공격력을 기준으로 동일 등급의 AR로는 4방에, SR로는 2방에 적을 죽일 수 있도록 공격력을 설계한다. </t>
    <phoneticPr fontId="4" type="noConversion"/>
  </si>
  <si>
    <t>잠깐의 대기시간 후 적을 관통하는 레이저를 발사</t>
    <phoneticPr fontId="4" type="noConversion"/>
  </si>
  <si>
    <t>자기장 수류탄 (</t>
    <phoneticPr fontId="4" type="noConversion"/>
  </si>
  <si>
    <t xml:space="preserve">값 입력 -&gt; P12셀 선택 후 엔터 입력 시 일반 몬스터 체력에 따른 적정 총기 공격력 확인 가능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</si>
</sst>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rgb="FF0061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rgb="FF9C000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" fillId="4" borderId="1" applyNumberFormat="0" applyFont="0" applyAlignment="0" applyProtection="0">
      <alignment vertical="center"/>
    </xf>
    <xf numFmtId="0" fontId="8" fillId="5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2" xfId="3" applyFont="1" applyBorder="1" applyAlignment="1">
      <alignment horizontal="center"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3" fillId="3" borderId="2" xfId="2" applyBorder="1" applyAlignment="1">
      <alignment horizontal="left" vertical="center"/>
    </xf>
    <xf numFmtId="0" fontId="7" fillId="0" borderId="2" xfId="0" applyFont="1" applyBorder="1">
      <alignment vertical="center"/>
    </xf>
    <xf numFmtId="0" fontId="3" fillId="3" borderId="2" xfId="2" applyBorder="1">
      <alignment vertical="center"/>
    </xf>
    <xf numFmtId="0" fontId="9" fillId="0" borderId="0" xfId="0" applyFont="1">
      <alignment vertical="center"/>
    </xf>
    <xf numFmtId="0" fontId="8" fillId="5" borderId="0" xfId="4">
      <alignment vertical="center"/>
    </xf>
    <xf numFmtId="0" fontId="11" fillId="0" borderId="0" xfId="0" applyFont="1" applyAlignment="1">
      <alignment horizontal="left" vertical="center"/>
    </xf>
    <xf numFmtId="0" fontId="0" fillId="0" borderId="3" xfId="0" applyBorder="1">
      <alignment vertical="center"/>
    </xf>
    <xf numFmtId="0" fontId="11" fillId="0" borderId="0" xfId="0" applyFont="1">
      <alignment vertical="center"/>
    </xf>
    <xf numFmtId="0" fontId="11" fillId="4" borderId="3" xfId="3" applyFont="1" applyBorder="1" applyAlignment="1">
      <alignment horizontal="center" vertical="center"/>
    </xf>
    <xf numFmtId="0" fontId="7" fillId="4" borderId="3" xfId="3" applyFont="1" applyBorder="1" applyAlignment="1">
      <alignment horizontal="center" vertical="center"/>
    </xf>
    <xf numFmtId="0" fontId="7" fillId="0" borderId="3" xfId="0" applyFont="1" applyBorder="1">
      <alignment vertical="center"/>
    </xf>
    <xf numFmtId="0" fontId="5" fillId="4" borderId="4" xfId="3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4" borderId="5" xfId="3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4" borderId="3" xfId="3" applyFont="1" applyBorder="1" applyAlignment="1">
      <alignment horizontal="center" vertical="center"/>
    </xf>
    <xf numFmtId="0" fontId="11" fillId="0" borderId="3" xfId="0" applyFont="1" applyBorder="1">
      <alignment vertical="center"/>
    </xf>
    <xf numFmtId="0" fontId="3" fillId="3" borderId="3" xfId="2" applyBorder="1">
      <alignment vertical="center"/>
    </xf>
    <xf numFmtId="0" fontId="0" fillId="4" borderId="3" xfId="3" applyFont="1" applyBorder="1">
      <alignment vertical="center"/>
    </xf>
    <xf numFmtId="0" fontId="0" fillId="0" borderId="0" xfId="0" applyAlignment="1">
      <alignment horizontal="right" vertical="center"/>
    </xf>
    <xf numFmtId="0" fontId="10" fillId="3" borderId="0" xfId="2" applyFont="1" applyAlignment="1">
      <alignment horizontal="center" vertical="center"/>
    </xf>
    <xf numFmtId="0" fontId="0" fillId="4" borderId="3" xfId="3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</cellXfs>
  <cellStyles count="5">
    <cellStyle name="나쁨" xfId="2" builtinId="27"/>
    <cellStyle name="메모" xfId="3" builtinId="10"/>
    <cellStyle name="보통" xfId="4" builtinId="28"/>
    <cellStyle name="좋음" xfId="1" builtinId="2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DCC5-911B-4B88-941B-D1E1CEC7C469}">
  <sheetPr codeName="Sheet1"/>
  <dimension ref="A1:BF67"/>
  <sheetViews>
    <sheetView tabSelected="1" zoomScale="55" zoomScaleNormal="55" workbookViewId="0">
      <selection activeCell="AA29" sqref="AA29"/>
    </sheetView>
  </sheetViews>
  <sheetFormatPr defaultRowHeight="16.5" x14ac:dyDescent="0.3"/>
  <cols>
    <col min="1" max="1" width="5.375" customWidth="1"/>
    <col min="2" max="2" width="20.5" customWidth="1"/>
    <col min="5" max="5" width="19" customWidth="1"/>
    <col min="6" max="6" width="10.875" customWidth="1"/>
    <col min="8" max="8" width="21.25" customWidth="1"/>
    <col min="9" max="9" width="10.625" customWidth="1"/>
    <col min="15" max="15" width="21" customWidth="1"/>
    <col min="16" max="16" width="13.375" bestFit="1" customWidth="1"/>
    <col min="17" max="17" width="12.75" style="1" customWidth="1"/>
    <col min="18" max="18" width="20.75" customWidth="1"/>
    <col min="20" max="20" width="11.25" customWidth="1"/>
    <col min="21" max="21" width="19.5" customWidth="1"/>
    <col min="22" max="22" width="10.625" bestFit="1" customWidth="1"/>
    <col min="23" max="23" width="11.5" customWidth="1"/>
    <col min="29" max="29" width="18.125" customWidth="1"/>
    <col min="31" max="31" width="9" style="1"/>
  </cols>
  <sheetData>
    <row r="1" spans="1:58" x14ac:dyDescent="0.3">
      <c r="A1" s="1"/>
    </row>
    <row r="2" spans="1:58" x14ac:dyDescent="0.3">
      <c r="B2" s="28" t="s">
        <v>17</v>
      </c>
      <c r="C2" s="28"/>
      <c r="D2" s="28"/>
      <c r="E2" s="28"/>
      <c r="F2" s="28"/>
      <c r="G2" s="28"/>
      <c r="H2" s="28"/>
      <c r="I2" s="28"/>
      <c r="J2" s="28"/>
      <c r="K2" s="28"/>
      <c r="O2" s="28" t="s">
        <v>24</v>
      </c>
      <c r="P2" s="28"/>
      <c r="Q2" s="28"/>
      <c r="R2" s="28"/>
      <c r="S2" s="28"/>
      <c r="T2" s="28"/>
      <c r="U2" s="28"/>
      <c r="V2" s="28"/>
      <c r="W2" s="28"/>
      <c r="X2" s="28"/>
    </row>
    <row r="3" spans="1:58" x14ac:dyDescent="0.3">
      <c r="B3" s="28"/>
      <c r="C3" s="28"/>
      <c r="D3" s="28"/>
      <c r="E3" s="28"/>
      <c r="F3" s="28"/>
      <c r="G3" s="28"/>
      <c r="H3" s="28"/>
      <c r="I3" s="28"/>
      <c r="J3" s="28"/>
      <c r="K3" s="28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spans="1:58" x14ac:dyDescent="0.3">
      <c r="B4" s="26" t="s">
        <v>14</v>
      </c>
      <c r="C4" s="26"/>
      <c r="D4" s="26"/>
      <c r="E4" s="26"/>
      <c r="F4" s="26"/>
      <c r="G4" s="26"/>
      <c r="H4" s="26"/>
      <c r="I4" s="26"/>
      <c r="J4" s="26"/>
      <c r="K4" s="26"/>
      <c r="O4" s="26" t="s">
        <v>25</v>
      </c>
      <c r="P4" s="26"/>
      <c r="Q4" s="26"/>
      <c r="R4" s="26"/>
      <c r="S4" s="26"/>
      <c r="T4" s="26"/>
      <c r="U4" s="26"/>
      <c r="V4" s="26"/>
      <c r="W4" s="26"/>
      <c r="X4" s="26"/>
    </row>
    <row r="5" spans="1:58" x14ac:dyDescent="0.3">
      <c r="O5" s="26" t="s">
        <v>26</v>
      </c>
      <c r="P5" s="26"/>
      <c r="Q5" s="26"/>
      <c r="R5" s="26"/>
      <c r="S5" s="26"/>
      <c r="T5" s="26"/>
      <c r="U5" s="26"/>
      <c r="V5" s="26"/>
      <c r="W5" s="26"/>
      <c r="X5" s="26"/>
    </row>
    <row r="6" spans="1:58" x14ac:dyDescent="0.3">
      <c r="B6" s="3" t="s">
        <v>84</v>
      </c>
      <c r="C6" s="4">
        <v>300</v>
      </c>
      <c r="O6" s="26" t="s">
        <v>33</v>
      </c>
      <c r="P6" s="26"/>
      <c r="Q6" s="26"/>
      <c r="R6" s="26"/>
      <c r="S6" s="26"/>
      <c r="T6" s="26"/>
      <c r="U6" s="26"/>
      <c r="V6" s="26"/>
      <c r="W6" s="26"/>
      <c r="X6" s="26"/>
    </row>
    <row r="7" spans="1:58" x14ac:dyDescent="0.3">
      <c r="B7" s="3" t="s">
        <v>0</v>
      </c>
      <c r="C7" s="4">
        <v>1136</v>
      </c>
    </row>
    <row r="8" spans="1:58" x14ac:dyDescent="0.3">
      <c r="B8" s="3" t="s">
        <v>1</v>
      </c>
      <c r="C8" s="4">
        <v>0</v>
      </c>
      <c r="O8" t="s">
        <v>28</v>
      </c>
    </row>
    <row r="9" spans="1:58" x14ac:dyDescent="0.3">
      <c r="B9" s="3" t="s">
        <v>2</v>
      </c>
      <c r="C9" s="4">
        <v>0</v>
      </c>
      <c r="O9" t="s">
        <v>27</v>
      </c>
    </row>
    <row r="10" spans="1:58" x14ac:dyDescent="0.3">
      <c r="B10" s="3" t="s">
        <v>3</v>
      </c>
      <c r="C10" s="4">
        <v>0</v>
      </c>
      <c r="F10" s="2"/>
      <c r="O10" t="s">
        <v>88</v>
      </c>
    </row>
    <row r="11" spans="1:58" x14ac:dyDescent="0.3">
      <c r="B11" s="17" t="s">
        <v>15</v>
      </c>
      <c r="C11" s="18">
        <v>20</v>
      </c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 x14ac:dyDescent="0.3">
      <c r="B12" s="21" t="s">
        <v>44</v>
      </c>
      <c r="C12" s="22">
        <v>300</v>
      </c>
      <c r="O12" s="15" t="s">
        <v>23</v>
      </c>
      <c r="P12" s="12">
        <v>5000</v>
      </c>
      <c r="Q12" s="2" t="s">
        <v>42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x14ac:dyDescent="0.3">
      <c r="B13" s="19" t="s">
        <v>10</v>
      </c>
      <c r="C13" s="20">
        <v>3</v>
      </c>
      <c r="O13" s="13"/>
      <c r="Q13" s="2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 x14ac:dyDescent="0.3">
      <c r="B14" s="3" t="s">
        <v>11</v>
      </c>
      <c r="C14" s="4">
        <v>10</v>
      </c>
      <c r="O14" s="14" t="s">
        <v>29</v>
      </c>
      <c r="P14" s="12" cm="1">
        <f t="array" ref="P14">ROUNDDOWN(ShotgunPower(),0)</f>
        <v>1136</v>
      </c>
      <c r="U14" s="24" t="s">
        <v>50</v>
      </c>
      <c r="V14" s="12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 x14ac:dyDescent="0.3">
      <c r="H15" t="s">
        <v>22</v>
      </c>
      <c r="O15" s="14" t="s">
        <v>30</v>
      </c>
      <c r="P15" s="12">
        <f>ROUNDDOWN($P$14/3.1,0)</f>
        <v>366</v>
      </c>
      <c r="Q15" s="2" t="s">
        <v>86</v>
      </c>
      <c r="R15" s="1"/>
      <c r="U15" s="24" t="s">
        <v>51</v>
      </c>
      <c r="V15" s="12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 x14ac:dyDescent="0.3">
      <c r="B16" s="6" t="s">
        <v>4</v>
      </c>
      <c r="C16" s="7">
        <f>ROUNDDOWN((C7*(1+$C$6/100))*(1+$C$9/100)*(1+$C$10/100),0)</f>
        <v>4544</v>
      </c>
      <c r="E16" s="8" t="s">
        <v>8</v>
      </c>
      <c r="F16" s="7">
        <f>ROUNDDOWN((($C$7*(1+$C$6/100))*$C$13)*(1+$C$14/100)*(1+$C$10/100),0)</f>
        <v>14995</v>
      </c>
      <c r="G16" s="5"/>
      <c r="H16" s="8" t="s">
        <v>20</v>
      </c>
      <c r="I16" s="4">
        <f>ROUNDDOWN(($C$16*(1-$C$11/100))+($C$17*($C$11/100)),0)</f>
        <v>4998</v>
      </c>
      <c r="O16" s="14" t="s">
        <v>31</v>
      </c>
      <c r="P16" s="12">
        <f>ROUNDDOWN($P$14/1.1,0)</f>
        <v>1032</v>
      </c>
      <c r="Q16" s="2" t="s">
        <v>32</v>
      </c>
      <c r="U16" s="24" t="s">
        <v>52</v>
      </c>
      <c r="V16" s="12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2:58" x14ac:dyDescent="0.3">
      <c r="B17" s="6" t="s">
        <v>5</v>
      </c>
      <c r="C17" s="7">
        <f>ROUNDDOWN(($C$7*(1+$C$6/100))*(1+(0.5+$C$8/100))*(1+$C$9/100)*(1+$C$10/100),0)</f>
        <v>6816</v>
      </c>
      <c r="E17" s="8" t="s">
        <v>9</v>
      </c>
      <c r="F17" s="7">
        <f>ROUNDDOWN((($C$7*(1+$C$6/100))*$C$13)*(1+(0.5+$C$8/100))*(1+$C$14/100)*(1+$C$10/100),0)</f>
        <v>22492</v>
      </c>
      <c r="G17" s="5"/>
      <c r="H17" s="8" t="s">
        <v>21</v>
      </c>
      <c r="I17" s="4">
        <f>ROUNDDOWN(($F$16*(1-($C$11/100)))+($F$17*$C$11/100),0)</f>
        <v>16494</v>
      </c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2:58" x14ac:dyDescent="0.3">
      <c r="B18" s="6" t="s">
        <v>6</v>
      </c>
      <c r="C18" s="7">
        <f>ROUNDDOWN(($C$7*(1+$C$6/100))*(1+$C$9/100)*(1+$C$10/100)*1.2,0)</f>
        <v>5452</v>
      </c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2:58" x14ac:dyDescent="0.3">
      <c r="B19" s="6" t="s">
        <v>7</v>
      </c>
      <c r="C19" s="7">
        <f>ROUNDDOWN(($C$7*(1+$C$6/100))*(1+(0.5+$C$8/100))*(1+$C$9/100)*(1+$C$10/100)*1.2,0)</f>
        <v>8179</v>
      </c>
      <c r="O19" s="14" t="s">
        <v>35</v>
      </c>
      <c r="P19" s="12">
        <f>ROUNDDOWN((1-$C$11/100)*ROUNDDOWN(($P$15*(1+$C$6/100))*(1+$C$9/100)*(1+$C$10/100),0)+($C$11/100)*ROUNDDOWN(($P$15*(1+$C$6/100))*(1+(0.5+$C$8/100))*(1+$C$9/100)*(1+$C$10/100),0),0)</f>
        <v>1610</v>
      </c>
      <c r="Q19" s="11" t="s">
        <v>38</v>
      </c>
      <c r="R19" s="1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2:58" x14ac:dyDescent="0.3">
      <c r="O20" s="14" t="s">
        <v>36</v>
      </c>
      <c r="P20" s="12">
        <f>ROUNDDOWN((1-$C$11/100)*ROUNDDOWN(($P$16*(1+$C$6/100))*(1+$C$9/100)*(1+$C$10/100),0)+($C$11/100)*ROUNDDOWN(($P$16*(1+$C$6/100))*(1+(0.5+$C$8/100))*(1+$C$9/100)*(1+$C$10/100),0),0)</f>
        <v>4540</v>
      </c>
      <c r="S20" s="1"/>
      <c r="V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2:58" x14ac:dyDescent="0.3">
      <c r="B21" s="23" t="s">
        <v>47</v>
      </c>
      <c r="C21" s="12"/>
      <c r="P21" s="1"/>
      <c r="S21" s="1"/>
      <c r="V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2:58" x14ac:dyDescent="0.3">
      <c r="B22" s="23" t="s">
        <v>46</v>
      </c>
      <c r="C22" s="12"/>
      <c r="O22" t="s">
        <v>49</v>
      </c>
      <c r="P22" s="1"/>
      <c r="S22" s="1"/>
      <c r="V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2:58" x14ac:dyDescent="0.3">
      <c r="B23" s="23" t="s">
        <v>48</v>
      </c>
      <c r="C23" s="12"/>
      <c r="O23" s="27" t="s">
        <v>39</v>
      </c>
      <c r="P23" s="12" t="s">
        <v>18</v>
      </c>
      <c r="Q23" s="16">
        <f>$P$12</f>
        <v>5000</v>
      </c>
      <c r="R23" s="27" t="s">
        <v>40</v>
      </c>
      <c r="S23" s="12" t="s">
        <v>18</v>
      </c>
      <c r="T23" s="16">
        <f>$P$12*40</f>
        <v>200000</v>
      </c>
      <c r="U23" s="27" t="s">
        <v>41</v>
      </c>
      <c r="V23" s="12" t="s">
        <v>18</v>
      </c>
      <c r="W23" s="16">
        <f>$P$12*120</f>
        <v>600000</v>
      </c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2:58" x14ac:dyDescent="0.3">
      <c r="O24" s="27"/>
      <c r="P24" s="12" t="s">
        <v>16</v>
      </c>
      <c r="Q24" s="16">
        <f>$P$19*2</f>
        <v>3220</v>
      </c>
      <c r="R24" s="27"/>
      <c r="S24" s="12" t="s">
        <v>16</v>
      </c>
      <c r="T24" s="16">
        <f>$P$19*120</f>
        <v>193200</v>
      </c>
      <c r="U24" s="27"/>
      <c r="V24" s="12" t="s">
        <v>16</v>
      </c>
      <c r="W24" s="16">
        <f>$P$19*360</f>
        <v>579600</v>
      </c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2:58" x14ac:dyDescent="0.3">
      <c r="B25" s="10" t="s">
        <v>12</v>
      </c>
      <c r="C25" s="9" t="s">
        <v>85</v>
      </c>
      <c r="O25" s="27"/>
      <c r="P25" s="12" t="s">
        <v>19</v>
      </c>
      <c r="Q25" s="16">
        <f>$P$20</f>
        <v>4540</v>
      </c>
      <c r="R25" s="27"/>
      <c r="S25" s="12" t="s">
        <v>19</v>
      </c>
      <c r="T25" s="16">
        <f>$P$20*40</f>
        <v>181600</v>
      </c>
      <c r="U25" s="27"/>
      <c r="V25" s="12" t="s">
        <v>19</v>
      </c>
      <c r="W25" s="16">
        <f>$P$20*120</f>
        <v>544800</v>
      </c>
    </row>
    <row r="26" spans="2:58" x14ac:dyDescent="0.3">
      <c r="B26" s="10" t="s">
        <v>13</v>
      </c>
      <c r="C26" s="9" t="s">
        <v>87</v>
      </c>
      <c r="O26" s="2"/>
    </row>
    <row r="27" spans="2:58" x14ac:dyDescent="0.3">
      <c r="B27" s="10" t="s">
        <v>45</v>
      </c>
      <c r="C27" s="9"/>
      <c r="O27" t="s">
        <v>34</v>
      </c>
    </row>
    <row r="28" spans="2:58" x14ac:dyDescent="0.3">
      <c r="O28" s="11" t="s">
        <v>37</v>
      </c>
    </row>
    <row r="29" spans="2:58" x14ac:dyDescent="0.3">
      <c r="B29" s="5" t="s">
        <v>91</v>
      </c>
    </row>
    <row r="32" spans="2:58" x14ac:dyDescent="0.3">
      <c r="B32" s="28" t="s">
        <v>43</v>
      </c>
      <c r="C32" s="28"/>
      <c r="D32" s="28"/>
      <c r="E32" s="28"/>
      <c r="F32" s="28"/>
      <c r="G32" s="28"/>
      <c r="H32" s="28"/>
      <c r="I32" s="28"/>
      <c r="J32" s="28"/>
      <c r="K32" s="28"/>
      <c r="O32" s="28" t="s">
        <v>53</v>
      </c>
      <c r="P32" s="28"/>
      <c r="Q32" s="28"/>
      <c r="R32" s="28"/>
      <c r="S32" s="28"/>
      <c r="T32" s="28"/>
      <c r="U32" s="28"/>
      <c r="V32" s="28"/>
      <c r="W32" s="28"/>
      <c r="X32" s="28"/>
    </row>
    <row r="33" spans="2:24" ht="19.5" customHeight="1" x14ac:dyDescent="0.3">
      <c r="B33" s="28"/>
      <c r="C33" s="28"/>
      <c r="D33" s="28"/>
      <c r="E33" s="28"/>
      <c r="F33" s="28"/>
      <c r="G33" s="28"/>
      <c r="H33" s="28"/>
      <c r="I33" s="28"/>
      <c r="J33" s="28"/>
      <c r="K33" s="28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x14ac:dyDescent="0.3">
      <c r="B34" s="26" t="s">
        <v>54</v>
      </c>
      <c r="C34" s="26"/>
      <c r="D34" s="26"/>
      <c r="E34" s="26"/>
      <c r="F34" s="26"/>
      <c r="G34" s="26"/>
      <c r="H34" s="26"/>
      <c r="I34" s="26"/>
      <c r="J34" s="26"/>
      <c r="K34" s="26"/>
    </row>
    <row r="35" spans="2:24" x14ac:dyDescent="0.3">
      <c r="B35" s="26" t="s">
        <v>55</v>
      </c>
      <c r="C35" s="26"/>
      <c r="D35" s="26"/>
      <c r="E35" s="26"/>
      <c r="F35" s="26"/>
      <c r="G35" s="26"/>
      <c r="H35" s="26"/>
      <c r="I35" s="26"/>
      <c r="J35" s="26"/>
      <c r="K35" s="26"/>
    </row>
    <row r="36" spans="2:24" x14ac:dyDescent="0.3">
      <c r="B36" s="26" t="s">
        <v>14</v>
      </c>
      <c r="C36" s="26"/>
      <c r="D36" s="26"/>
      <c r="E36" s="26"/>
      <c r="F36" s="26"/>
      <c r="G36" s="26"/>
      <c r="H36" s="26"/>
      <c r="I36" s="26"/>
      <c r="J36" s="26"/>
      <c r="K36" s="26"/>
      <c r="O36" s="25"/>
      <c r="P36" s="1"/>
      <c r="R36" s="1"/>
    </row>
    <row r="37" spans="2:24" x14ac:dyDescent="0.3">
      <c r="O37" s="25"/>
      <c r="P37" s="1"/>
      <c r="R37" s="1"/>
    </row>
    <row r="38" spans="2:24" x14ac:dyDescent="0.3">
      <c r="P38" s="1"/>
      <c r="R38" s="1"/>
    </row>
    <row r="39" spans="2:24" x14ac:dyDescent="0.3">
      <c r="P39" s="1"/>
      <c r="R39" s="1"/>
    </row>
    <row r="40" spans="2:24" x14ac:dyDescent="0.3">
      <c r="B40" t="s">
        <v>56</v>
      </c>
      <c r="C40" t="s">
        <v>89</v>
      </c>
      <c r="P40" s="1"/>
      <c r="R40" s="1"/>
    </row>
    <row r="41" spans="2:24" x14ac:dyDescent="0.3">
      <c r="B41" t="s">
        <v>57</v>
      </c>
      <c r="C41" t="s">
        <v>90</v>
      </c>
      <c r="P41" s="1"/>
      <c r="R41" s="1"/>
    </row>
    <row r="42" spans="2:24" x14ac:dyDescent="0.3">
      <c r="B42" t="s">
        <v>58</v>
      </c>
      <c r="C42" t="s">
        <v>59</v>
      </c>
      <c r="P42" s="1"/>
      <c r="R42" s="1"/>
    </row>
    <row r="43" spans="2:24" x14ac:dyDescent="0.3">
      <c r="B43" t="s">
        <v>60</v>
      </c>
      <c r="C43" t="s">
        <v>61</v>
      </c>
      <c r="P43" s="1"/>
      <c r="R43" s="1"/>
    </row>
    <row r="44" spans="2:24" x14ac:dyDescent="0.3">
      <c r="B44" t="s">
        <v>62</v>
      </c>
      <c r="C44" t="s">
        <v>64</v>
      </c>
      <c r="P44" s="1"/>
      <c r="R44" s="1"/>
    </row>
    <row r="45" spans="2:24" x14ac:dyDescent="0.3">
      <c r="B45" t="s">
        <v>63</v>
      </c>
      <c r="C45" t="s">
        <v>77</v>
      </c>
      <c r="P45" s="1"/>
      <c r="R45" s="1"/>
    </row>
    <row r="46" spans="2:24" x14ac:dyDescent="0.3">
      <c r="B46" t="s">
        <v>65</v>
      </c>
      <c r="C46" t="s">
        <v>67</v>
      </c>
      <c r="P46" s="1"/>
      <c r="R46" s="1"/>
    </row>
    <row r="47" spans="2:24" x14ac:dyDescent="0.3">
      <c r="B47" t="s">
        <v>66</v>
      </c>
      <c r="C47" t="s">
        <v>68</v>
      </c>
      <c r="P47" s="1"/>
      <c r="R47" s="1"/>
    </row>
    <row r="48" spans="2:24" x14ac:dyDescent="0.3">
      <c r="P48" s="1"/>
      <c r="R48" s="1"/>
    </row>
    <row r="49" spans="2:18" x14ac:dyDescent="0.3">
      <c r="P49" s="1"/>
      <c r="R49" s="1"/>
    </row>
    <row r="50" spans="2:18" x14ac:dyDescent="0.3">
      <c r="B50" t="s">
        <v>70</v>
      </c>
      <c r="C50" t="s">
        <v>81</v>
      </c>
      <c r="P50" s="1"/>
      <c r="R50" s="1"/>
    </row>
    <row r="51" spans="2:18" x14ac:dyDescent="0.3">
      <c r="B51" t="s">
        <v>71</v>
      </c>
      <c r="C51" t="s">
        <v>73</v>
      </c>
      <c r="P51" s="1"/>
      <c r="R51" s="1"/>
    </row>
    <row r="52" spans="2:18" x14ac:dyDescent="0.3">
      <c r="B52" t="s">
        <v>72</v>
      </c>
      <c r="C52" t="s">
        <v>74</v>
      </c>
      <c r="P52" s="1"/>
      <c r="R52" s="1"/>
    </row>
    <row r="53" spans="2:18" x14ac:dyDescent="0.3">
      <c r="B53" t="s">
        <v>60</v>
      </c>
      <c r="C53" t="s">
        <v>61</v>
      </c>
      <c r="P53" s="1"/>
      <c r="R53" s="1"/>
    </row>
    <row r="54" spans="2:18" x14ac:dyDescent="0.3">
      <c r="B54" t="s">
        <v>78</v>
      </c>
      <c r="C54" t="s">
        <v>79</v>
      </c>
      <c r="P54" s="1"/>
      <c r="R54" s="1"/>
    </row>
    <row r="55" spans="2:18" x14ac:dyDescent="0.3">
      <c r="B55" t="s">
        <v>63</v>
      </c>
      <c r="C55" t="s">
        <v>77</v>
      </c>
      <c r="P55" s="1"/>
      <c r="R55" s="1"/>
    </row>
    <row r="56" spans="2:18" x14ac:dyDescent="0.3">
      <c r="B56" t="s">
        <v>65</v>
      </c>
      <c r="C56" t="s">
        <v>67</v>
      </c>
      <c r="P56" s="1"/>
      <c r="R56" s="1"/>
    </row>
    <row r="57" spans="2:18" x14ac:dyDescent="0.3">
      <c r="B57" t="s">
        <v>66</v>
      </c>
      <c r="C57" t="s">
        <v>68</v>
      </c>
      <c r="P57" s="1"/>
      <c r="R57" s="1"/>
    </row>
    <row r="58" spans="2:18" x14ac:dyDescent="0.3">
      <c r="P58" s="1"/>
      <c r="R58" s="1"/>
    </row>
    <row r="59" spans="2:18" x14ac:dyDescent="0.3">
      <c r="P59" s="1"/>
      <c r="R59" s="1"/>
    </row>
    <row r="60" spans="2:18" x14ac:dyDescent="0.3">
      <c r="B60" t="s">
        <v>69</v>
      </c>
      <c r="C60" t="s">
        <v>83</v>
      </c>
      <c r="P60" s="1"/>
      <c r="R60" s="1"/>
    </row>
    <row r="61" spans="2:18" x14ac:dyDescent="0.3">
      <c r="B61" t="s">
        <v>75</v>
      </c>
      <c r="C61" t="s">
        <v>82</v>
      </c>
      <c r="P61" s="1"/>
      <c r="R61" s="1"/>
    </row>
    <row r="62" spans="2:18" x14ac:dyDescent="0.3">
      <c r="B62" t="s">
        <v>76</v>
      </c>
      <c r="C62" t="s">
        <v>80</v>
      </c>
      <c r="P62" s="1"/>
      <c r="R62" s="1"/>
    </row>
    <row r="63" spans="2:18" x14ac:dyDescent="0.3">
      <c r="B63" t="s">
        <v>78</v>
      </c>
      <c r="C63" t="s">
        <v>79</v>
      </c>
      <c r="P63" s="1"/>
      <c r="R63" s="1"/>
    </row>
    <row r="64" spans="2:18" x14ac:dyDescent="0.3">
      <c r="P64" s="1"/>
      <c r="R64" s="1"/>
    </row>
    <row r="65" spans="2:18" x14ac:dyDescent="0.3">
      <c r="B65" t="s">
        <v>63</v>
      </c>
      <c r="C65" t="s">
        <v>77</v>
      </c>
      <c r="P65" s="1"/>
      <c r="R65" s="1"/>
    </row>
    <row r="66" spans="2:18" x14ac:dyDescent="0.3">
      <c r="B66" t="s">
        <v>65</v>
      </c>
      <c r="C66" t="s">
        <v>67</v>
      </c>
      <c r="P66" s="1"/>
      <c r="R66" s="1"/>
    </row>
    <row r="67" spans="2:18" x14ac:dyDescent="0.3">
      <c r="B67" t="s">
        <v>66</v>
      </c>
      <c r="C67" t="s">
        <v>68</v>
      </c>
      <c r="P67" s="1"/>
      <c r="R67" s="1"/>
    </row>
  </sheetData>
  <mergeCells count="14">
    <mergeCell ref="B34:K34"/>
    <mergeCell ref="B35:K35"/>
    <mergeCell ref="B36:K36"/>
    <mergeCell ref="U23:U25"/>
    <mergeCell ref="B2:K3"/>
    <mergeCell ref="B4:K4"/>
    <mergeCell ref="B32:K33"/>
    <mergeCell ref="O4:X4"/>
    <mergeCell ref="O2:X3"/>
    <mergeCell ref="O5:X5"/>
    <mergeCell ref="O6:X6"/>
    <mergeCell ref="R23:R25"/>
    <mergeCell ref="O23:O25"/>
    <mergeCell ref="O32:X33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2023-06-27T09:32:43Z</dcterms:created>
  <dcterms:modified xsi:type="dcterms:W3CDTF">2023-07-11T12:54:15Z</dcterms:modified>
</cp:coreProperties>
</file>